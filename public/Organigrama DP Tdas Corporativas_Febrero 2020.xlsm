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/>
  <workbookPr filterPrivacy="1"/>
  <bookViews>
    <workbookView xWindow="0" yWindow="0" windowWidth="20490" windowHeight="7230" firstSheet="2" activeTab="6"/>
  </bookViews>
  <sheets>
    <sheet name="Resumen" sheetId="2" r:id="rId1"/>
    <sheet name="Organigrama Febrero" sheetId="1" r:id="rId2"/>
    <sheet name="Hoja1" sheetId="3" r:id="rId3"/>
    <sheet name="Dar de alta" sheetId="4" r:id="rId4"/>
    <sheet name="Hoja3" sheetId="5" r:id="rId5"/>
    <sheet name="SUCURSACLES" sheetId="6" r:id="rId6"/>
    <sheet name="SUCURSALES DOMINOS - USUARIOS" sheetId="7" r:id="rId7"/>
    <sheet name="Suc BD" sheetId="8" r:id="rId8"/>
  </sheets>
  <definedNames>
    <definedName name="_xlnm._FilterDatabase" localSheetId="1" hidden="1">'Organigrama Febrero'!$A$8:$AG$8</definedName>
    <definedName name="_xlnm._FilterDatabase" localSheetId="6" hidden="1">'SUCURSALES DOMINOS - USUARIOS'!$A$1:$J$463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20" i="7" l="1"/>
  <c r="B308" i="7"/>
  <c r="B145" i="7"/>
  <c r="B455" i="7"/>
  <c r="B134" i="7"/>
  <c r="B425" i="7"/>
  <c r="B24" i="7"/>
  <c r="B426" i="7"/>
  <c r="B346" i="7"/>
  <c r="B118" i="7"/>
  <c r="B156" i="7"/>
  <c r="B178" i="7"/>
  <c r="B427" i="7"/>
  <c r="B53" i="7"/>
  <c r="B314" i="7"/>
  <c r="B266" i="7"/>
  <c r="B197" i="7"/>
  <c r="B245" i="7"/>
  <c r="B35" i="7"/>
  <c r="B247" i="7"/>
  <c r="B128" i="7"/>
  <c r="B292" i="7"/>
  <c r="B42" i="7"/>
  <c r="B301" i="7"/>
  <c r="B18" i="7"/>
  <c r="B3" i="7"/>
  <c r="B303" i="7"/>
  <c r="B23" i="7"/>
  <c r="B235" i="7"/>
  <c r="B123" i="7"/>
  <c r="B274" i="7"/>
  <c r="B399" i="7"/>
  <c r="B293" i="7"/>
  <c r="B98" i="7"/>
  <c r="B211" i="7"/>
  <c r="B321" i="7"/>
  <c r="B358" i="7"/>
  <c r="B326" i="7"/>
  <c r="B295" i="7"/>
  <c r="B8" i="7"/>
  <c r="B70" i="7"/>
  <c r="B400" i="7"/>
  <c r="B166" i="7"/>
  <c r="B107" i="7"/>
  <c r="B279" i="7"/>
  <c r="B55" i="7"/>
  <c r="B191" i="7"/>
  <c r="B176" i="7"/>
  <c r="B223" i="7"/>
  <c r="B136" i="7"/>
  <c r="B231" i="7"/>
  <c r="B348" i="7"/>
  <c r="B238" i="7"/>
  <c r="B401" i="7"/>
  <c r="B370" i="7"/>
  <c r="B2" i="7"/>
  <c r="B161" i="7"/>
  <c r="B29" i="7"/>
  <c r="B127" i="7"/>
  <c r="B40" i="7"/>
  <c r="B251" i="7"/>
  <c r="B119" i="7"/>
  <c r="B34" i="7"/>
  <c r="B300" i="7"/>
  <c r="B108" i="7"/>
  <c r="B150" i="7"/>
  <c r="B91" i="7"/>
  <c r="B9" i="7"/>
  <c r="B66" i="7"/>
  <c r="B390" i="7"/>
  <c r="B451" i="7"/>
  <c r="B229" i="7"/>
  <c r="B327" i="7"/>
  <c r="B331" i="7"/>
  <c r="B170" i="7"/>
  <c r="B386" i="7"/>
  <c r="B318" i="7"/>
  <c r="B449" i="7"/>
  <c r="B368" i="7"/>
  <c r="B459" i="7"/>
  <c r="B93" i="7"/>
  <c r="B290" i="7"/>
  <c r="B328" i="7"/>
  <c r="B428" i="7"/>
  <c r="B204" i="7"/>
  <c r="B275" i="7"/>
  <c r="B57" i="7"/>
  <c r="B132" i="7"/>
  <c r="B345" i="7"/>
  <c r="B250" i="7"/>
  <c r="B357" i="7"/>
  <c r="B305" i="7"/>
  <c r="B190" i="7"/>
  <c r="B220" i="7"/>
  <c r="B105" i="7"/>
  <c r="B58" i="7"/>
  <c r="B192" i="7"/>
  <c r="B330" i="7"/>
  <c r="B325" i="7"/>
  <c r="B382" i="7"/>
  <c r="B324" i="7"/>
  <c r="B207" i="7"/>
  <c r="B405" i="7"/>
  <c r="B165" i="7"/>
  <c r="B179" i="7"/>
  <c r="B339" i="7"/>
  <c r="B162" i="7"/>
  <c r="B159" i="7"/>
  <c r="B315" i="7"/>
  <c r="B172" i="7"/>
  <c r="B350" i="7"/>
  <c r="B113" i="7"/>
  <c r="B444" i="7"/>
  <c r="B453" i="7"/>
  <c r="B222" i="7"/>
  <c r="B256" i="7"/>
  <c r="B32" i="7"/>
  <c r="B296" i="7"/>
  <c r="B404" i="7"/>
  <c r="B261" i="7"/>
  <c r="B96" i="7"/>
  <c r="B76" i="7"/>
  <c r="B371" i="7"/>
  <c r="B38" i="7"/>
  <c r="B87" i="7"/>
  <c r="B262" i="7"/>
  <c r="B109" i="7"/>
  <c r="B64" i="7"/>
  <c r="B126" i="7"/>
  <c r="B379" i="7"/>
  <c r="B140" i="7"/>
  <c r="B239" i="7"/>
  <c r="B349" i="7"/>
  <c r="B137" i="7"/>
  <c r="B424" i="7"/>
  <c r="B280" i="7"/>
  <c r="B224" i="7"/>
  <c r="B86" i="7"/>
  <c r="B273" i="7"/>
  <c r="B329" i="7"/>
  <c r="B366" i="7"/>
  <c r="B173" i="7"/>
  <c r="B41" i="7"/>
  <c r="B154" i="7"/>
  <c r="B246" i="7"/>
  <c r="B77" i="7"/>
  <c r="B445" i="7"/>
  <c r="B80" i="7"/>
  <c r="B12" i="7"/>
  <c r="B97" i="7"/>
  <c r="B243" i="7"/>
  <c r="B403" i="7"/>
  <c r="B393" i="7"/>
  <c r="B450" i="7"/>
  <c r="B149" i="7"/>
  <c r="B182" i="7"/>
  <c r="B78" i="7"/>
  <c r="B22" i="7"/>
  <c r="B43" i="7"/>
  <c r="B448" i="7"/>
  <c r="B48" i="7"/>
  <c r="B47" i="7"/>
  <c r="B81" i="7"/>
  <c r="B214" i="7"/>
  <c r="B387" i="7"/>
  <c r="B440" i="7"/>
  <c r="B216" i="7"/>
  <c r="B33" i="7"/>
  <c r="B351" i="7"/>
  <c r="B309" i="7"/>
  <c r="B294" i="7"/>
  <c r="B341" i="7"/>
  <c r="B381" i="7"/>
  <c r="B375" i="7"/>
  <c r="B420" i="7"/>
  <c r="B95" i="7"/>
  <c r="B278" i="7"/>
  <c r="B406" i="7"/>
  <c r="B417" i="7"/>
  <c r="B201" i="7"/>
  <c r="B89" i="7"/>
  <c r="B60" i="7"/>
  <c r="B167" i="7"/>
  <c r="B100" i="7"/>
  <c r="B388" i="7"/>
  <c r="B373" i="7"/>
  <c r="B355" i="7"/>
  <c r="B142" i="7"/>
  <c r="B429" i="7"/>
  <c r="B359" i="7"/>
  <c r="B187" i="7"/>
  <c r="B377" i="7"/>
  <c r="B391" i="7"/>
  <c r="B336" i="7"/>
  <c r="B430" i="7"/>
  <c r="B151" i="7"/>
  <c r="B217" i="7"/>
  <c r="B316" i="7"/>
  <c r="B186" i="7"/>
  <c r="B277" i="7"/>
  <c r="B131" i="7"/>
  <c r="B443" i="7"/>
  <c r="B122" i="7"/>
  <c r="B323" i="7"/>
  <c r="B153" i="7"/>
  <c r="B457" i="7"/>
  <c r="B169" i="7"/>
  <c r="B221" i="7"/>
  <c r="B120" i="7"/>
  <c r="B198" i="7"/>
  <c r="B184" i="7"/>
  <c r="B114" i="7"/>
  <c r="B195" i="7"/>
  <c r="B268" i="7"/>
  <c r="B447" i="7"/>
  <c r="B30" i="7"/>
  <c r="B171" i="7"/>
  <c r="B59" i="7"/>
  <c r="B384" i="7"/>
  <c r="B226" i="7"/>
  <c r="B431" i="7"/>
  <c r="B432" i="7"/>
  <c r="B433" i="7"/>
  <c r="B338" i="7"/>
  <c r="B83" i="7"/>
  <c r="B441" i="7"/>
  <c r="B365" i="7"/>
  <c r="B276" i="7"/>
  <c r="B434" i="7"/>
  <c r="B452" i="7"/>
  <c r="B233" i="7"/>
  <c r="B160" i="7"/>
  <c r="B5" i="7"/>
  <c r="B26" i="7"/>
  <c r="B253" i="7"/>
  <c r="B129" i="7"/>
  <c r="B139" i="7"/>
  <c r="B230" i="7"/>
  <c r="B435" i="7"/>
  <c r="B260" i="7"/>
  <c r="B68" i="7"/>
  <c r="B244" i="7"/>
  <c r="B6" i="7"/>
  <c r="B342" i="7"/>
  <c r="B183" i="7"/>
  <c r="B194" i="7"/>
  <c r="B147" i="7"/>
  <c r="B271" i="7"/>
  <c r="B125" i="7"/>
  <c r="B283" i="7"/>
  <c r="B7" i="7"/>
  <c r="B398" i="7"/>
  <c r="B74" i="7"/>
  <c r="B99" i="7"/>
  <c r="B101" i="7"/>
  <c r="B241" i="7"/>
  <c r="B196" i="7"/>
  <c r="B17" i="7"/>
  <c r="B103" i="7"/>
  <c r="B240" i="7"/>
  <c r="B287" i="7"/>
  <c r="B281" i="7"/>
  <c r="B72" i="7"/>
  <c r="B19" i="7"/>
  <c r="B423" i="7"/>
  <c r="B13" i="7"/>
  <c r="B14" i="7"/>
  <c r="B416" i="7"/>
  <c r="B372" i="7"/>
  <c r="B397" i="7"/>
  <c r="B227" i="7"/>
  <c r="B202" i="7"/>
  <c r="B249" i="7"/>
  <c r="B356" i="7"/>
  <c r="B255" i="7"/>
  <c r="B92" i="7"/>
  <c r="B46" i="7"/>
  <c r="B116" i="7"/>
  <c r="B79" i="7"/>
  <c r="B302" i="7"/>
  <c r="B88" i="7"/>
  <c r="B395" i="7"/>
  <c r="B367" i="7"/>
  <c r="B210" i="7"/>
  <c r="B180" i="7"/>
  <c r="B265" i="7"/>
  <c r="B106" i="7"/>
  <c r="B163" i="7"/>
  <c r="B337" i="7"/>
  <c r="B413" i="7"/>
  <c r="B270" i="7"/>
  <c r="B228" i="7"/>
  <c r="B11" i="7"/>
  <c r="B75" i="7"/>
  <c r="B45" i="7"/>
  <c r="B364" i="7"/>
  <c r="B436" i="7"/>
  <c r="B360" i="7"/>
  <c r="B332" i="7"/>
  <c r="B65" i="7"/>
  <c r="B213" i="7"/>
  <c r="B252" i="7"/>
  <c r="B135" i="7"/>
  <c r="B259" i="7"/>
  <c r="B115" i="7"/>
  <c r="B317" i="7"/>
  <c r="B16" i="7"/>
  <c r="B437" i="7"/>
  <c r="B62" i="7"/>
  <c r="B380" i="7"/>
  <c r="B313" i="7"/>
  <c r="B188" i="7"/>
  <c r="B71" i="7"/>
  <c r="B456" i="7"/>
  <c r="B460" i="7"/>
  <c r="B282" i="7"/>
  <c r="B84" i="7"/>
  <c r="B61" i="7"/>
  <c r="B138" i="7"/>
  <c r="B312" i="7"/>
  <c r="B181" i="7"/>
  <c r="B15" i="7"/>
  <c r="B110" i="7"/>
  <c r="B69" i="7"/>
  <c r="B438" i="7"/>
  <c r="B439" i="7"/>
  <c r="B402" i="7"/>
  <c r="B354" i="7"/>
  <c r="B446" i="7"/>
  <c r="B82" i="7"/>
  <c r="B143" i="7"/>
  <c r="B340" i="7"/>
  <c r="B56" i="7"/>
  <c r="B124" i="7"/>
  <c r="B50" i="7"/>
  <c r="B269" i="7"/>
  <c r="B28" i="7"/>
  <c r="B205" i="7"/>
  <c r="B408" i="7"/>
  <c r="B44" i="7"/>
  <c r="B412" i="7"/>
  <c r="B203" i="7"/>
  <c r="B175" i="7"/>
  <c r="B307" i="7"/>
  <c r="B422" i="7"/>
  <c r="B21" i="7"/>
  <c r="B264" i="7"/>
  <c r="B133" i="7"/>
  <c r="B4" i="7"/>
  <c r="B94" i="7"/>
  <c r="B174" i="7"/>
  <c r="B37" i="7"/>
  <c r="B344" i="7"/>
  <c r="B369" i="7"/>
  <c r="B394" i="7"/>
  <c r="B385" i="7"/>
  <c r="B311" i="7"/>
  <c r="B322" i="7"/>
  <c r="B242" i="7"/>
  <c r="B415" i="7"/>
  <c r="B335" i="7"/>
  <c r="B215" i="7"/>
  <c r="B209" i="7"/>
  <c r="B289" i="7"/>
  <c r="B257" i="7"/>
  <c r="B157" i="7"/>
  <c r="B343" i="7"/>
  <c r="B63" i="7"/>
  <c r="B421" i="7"/>
  <c r="B458" i="7"/>
  <c r="B258" i="7"/>
  <c r="B218" i="7"/>
  <c r="B152" i="7"/>
  <c r="B51" i="7"/>
  <c r="B234" i="7"/>
  <c r="B284" i="7"/>
  <c r="B272" i="7"/>
  <c r="B297" i="7"/>
  <c r="B306" i="7"/>
  <c r="B392" i="7"/>
  <c r="B185" i="7"/>
  <c r="B10" i="7"/>
  <c r="B121" i="7"/>
  <c r="B141" i="7"/>
  <c r="B383" i="7"/>
  <c r="B299" i="7"/>
  <c r="B168" i="7"/>
  <c r="B347" i="7"/>
  <c r="B177" i="7"/>
  <c r="B189" i="7"/>
  <c r="B104" i="7"/>
  <c r="B267" i="7"/>
  <c r="B155" i="7"/>
  <c r="B232" i="7"/>
  <c r="B288" i="7"/>
  <c r="B117" i="7"/>
  <c r="B361" i="7"/>
  <c r="B206" i="7"/>
  <c r="B378" i="7"/>
  <c r="B36" i="7"/>
  <c r="B442" i="7"/>
  <c r="B285" i="7"/>
  <c r="B20" i="7"/>
  <c r="B25" i="7"/>
  <c r="B286" i="7"/>
  <c r="B85" i="7"/>
  <c r="B254" i="7"/>
  <c r="B352" i="7"/>
  <c r="B411" i="7"/>
  <c r="B396" i="7"/>
  <c r="B208" i="7"/>
  <c r="B353" i="7"/>
  <c r="B146" i="7"/>
  <c r="B212" i="7"/>
  <c r="B409" i="7"/>
  <c r="B319" i="7"/>
  <c r="B39" i="7"/>
  <c r="B298" i="7"/>
  <c r="B362" i="7"/>
  <c r="B376" i="7"/>
  <c r="B363" i="7"/>
  <c r="B67" i="7"/>
  <c r="B236" i="7"/>
  <c r="B419" i="7"/>
  <c r="B414" i="7"/>
  <c r="B225" i="7"/>
  <c r="B193" i="7"/>
  <c r="B158" i="7"/>
  <c r="B49" i="7"/>
  <c r="B31" i="7"/>
  <c r="B263" i="7"/>
  <c r="B407" i="7"/>
  <c r="B333" i="7"/>
  <c r="B310" i="7"/>
  <c r="B248" i="7"/>
  <c r="B200" i="7"/>
  <c r="B237" i="7"/>
  <c r="B130" i="7"/>
  <c r="B27" i="7"/>
  <c r="B148" i="7"/>
  <c r="B454" i="7"/>
  <c r="B111" i="7"/>
  <c r="B73" i="7"/>
  <c r="B112" i="7"/>
  <c r="B219" i="7"/>
  <c r="B102" i="7"/>
  <c r="B199" i="7"/>
  <c r="B90" i="7"/>
  <c r="B164" i="7"/>
  <c r="B304" i="7"/>
  <c r="B410" i="7"/>
  <c r="B291" i="7"/>
  <c r="B52" i="7"/>
  <c r="B418" i="7"/>
  <c r="B389" i="7"/>
  <c r="B334" i="7"/>
  <c r="B144" i="7"/>
  <c r="B374" i="7"/>
  <c r="B461" i="7"/>
  <c r="B462" i="7"/>
  <c r="B463" i="7"/>
  <c r="B54" i="7"/>
  <c r="B10" i="1" l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9" i="1"/>
  <c r="C5" i="1" l="1"/>
  <c r="E15" i="2"/>
  <c r="D15" i="2"/>
  <c r="E14" i="2"/>
  <c r="D14" i="2"/>
  <c r="E13" i="2"/>
  <c r="D13" i="2"/>
  <c r="E10" i="2"/>
  <c r="D10" i="2"/>
  <c r="E9" i="2"/>
  <c r="D9" i="2"/>
  <c r="E8" i="2"/>
  <c r="D8" i="2"/>
  <c r="D21" i="2"/>
  <c r="E21" i="2"/>
  <c r="D22" i="2"/>
  <c r="D23" i="2"/>
  <c r="D24" i="2"/>
  <c r="D25" i="2"/>
  <c r="D26" i="2"/>
  <c r="E26" i="2"/>
  <c r="E25" i="2"/>
  <c r="E24" i="2"/>
  <c r="E23" i="2"/>
  <c r="E22" i="2"/>
  <c r="D17" i="2" l="1"/>
  <c r="E17" i="2"/>
  <c r="F24" i="2"/>
  <c r="E27" i="2"/>
  <c r="F26" i="2"/>
  <c r="F23" i="2"/>
  <c r="F15" i="2"/>
  <c r="F21" i="2"/>
  <c r="F25" i="2"/>
  <c r="F9" i="2"/>
  <c r="F13" i="2"/>
  <c r="F22" i="2"/>
  <c r="F8" i="2"/>
  <c r="D27" i="2"/>
  <c r="F10" i="2"/>
  <c r="F14" i="2"/>
  <c r="E29" i="2" l="1"/>
  <c r="F17" i="2"/>
  <c r="F27" i="2"/>
  <c r="D29" i="2"/>
  <c r="F29" i="2" l="1"/>
</calcChain>
</file>

<file path=xl/sharedStrings.xml><?xml version="1.0" encoding="utf-8"?>
<sst xmlns="http://schemas.openxmlformats.org/spreadsheetml/2006/main" count="15853" uniqueCount="2472">
  <si>
    <t>ORGANIGRAMA DE TIENDAS CORPORATIVAS</t>
  </si>
  <si>
    <t>RESUMEN</t>
  </si>
  <si>
    <t>Tiendas</t>
  </si>
  <si>
    <t>REGIÓN</t>
  </si>
  <si>
    <t>DIRECTOR REGIONAL</t>
  </si>
  <si>
    <t>DELIVERY</t>
  </si>
  <si>
    <t>EXPRESS</t>
  </si>
  <si>
    <t>TOTAL</t>
  </si>
  <si>
    <t>Centro Norte</t>
  </si>
  <si>
    <t>Jose Andres Bustillos Munciño</t>
  </si>
  <si>
    <t>Centro Sur</t>
  </si>
  <si>
    <t>Javier Martinez Martinez</t>
  </si>
  <si>
    <t>Norte-Noroeste</t>
  </si>
  <si>
    <t>Guillermo Ricardo Peña Gonzalez</t>
  </si>
  <si>
    <t>Occidente-Bajío</t>
  </si>
  <si>
    <t>Juan Alberto Meneses Romo De Vivar</t>
  </si>
  <si>
    <t>Puebla Veracruz</t>
  </si>
  <si>
    <t>Victor Hugo Flores Olmedo</t>
  </si>
  <si>
    <t>Sureste</t>
  </si>
  <si>
    <t>Luis Alberto Barriga Colsa</t>
  </si>
  <si>
    <t>Próximas aperturas</t>
  </si>
  <si>
    <t>TOTAL TIENDAS</t>
  </si>
  <si>
    <t>Tiendas activas</t>
  </si>
  <si>
    <t>CC</t>
  </si>
  <si>
    <t>Nombre</t>
  </si>
  <si>
    <t>No. Región</t>
  </si>
  <si>
    <t>Región Contable</t>
  </si>
  <si>
    <t>Región Operativa</t>
  </si>
  <si>
    <t>Fecha de apertura</t>
  </si>
  <si>
    <t>Estatus</t>
  </si>
  <si>
    <t>Formato</t>
  </si>
  <si>
    <t>Subformato</t>
  </si>
  <si>
    <t>No. Emp Gerente</t>
  </si>
  <si>
    <t>Gerente de tienda</t>
  </si>
  <si>
    <t>No. Emp DM</t>
  </si>
  <si>
    <t>Gerente de Distrito</t>
  </si>
  <si>
    <t>Director Regional</t>
  </si>
  <si>
    <t>Director General</t>
  </si>
  <si>
    <t>Calle_num</t>
  </si>
  <si>
    <t>Colonia</t>
  </si>
  <si>
    <t>Delegación_Municipio</t>
  </si>
  <si>
    <t>C.P.</t>
  </si>
  <si>
    <t>Ciudad</t>
  </si>
  <si>
    <t>Estado</t>
  </si>
  <si>
    <t>Correo electrónico</t>
  </si>
  <si>
    <t>Teléfono rojo (oficinas)</t>
  </si>
  <si>
    <t>Teléfono servicio</t>
  </si>
  <si>
    <t>Metro Centro Medico</t>
  </si>
  <si>
    <t>046</t>
  </si>
  <si>
    <t>Activa</t>
  </si>
  <si>
    <t>Express</t>
  </si>
  <si>
    <t>Metro</t>
  </si>
  <si>
    <t>Alejandra Cruz Romelia</t>
  </si>
  <si>
    <t>NA</t>
  </si>
  <si>
    <t>Línea 9 Del Metro, Local Cc-03,07,08,10</t>
  </si>
  <si>
    <t>Estación  Centro Médico;  Roma Sur</t>
  </si>
  <si>
    <t>Benito Juarez</t>
  </si>
  <si>
    <t>Ciudad De México</t>
  </si>
  <si>
    <t>11721@dominos.com.mx</t>
  </si>
  <si>
    <t>Metro Taxquena</t>
  </si>
  <si>
    <t>Coyoacan</t>
  </si>
  <si>
    <t>Metro Pino Suarez</t>
  </si>
  <si>
    <t>Línea 2 Del Metro,  Local Ca-02,03A</t>
  </si>
  <si>
    <t>Estación Pino Suárez;  Centro</t>
  </si>
  <si>
    <t>Cuauhtemoc</t>
  </si>
  <si>
    <t>11744@dominos.com.mx</t>
  </si>
  <si>
    <t>Metro La Raza</t>
  </si>
  <si>
    <t>Línea 3 Del Metro,  Local Ca-13;  Nivel Anden</t>
  </si>
  <si>
    <t>Estación La Raza;  Guadalupe Victoria</t>
  </si>
  <si>
    <t>Gustavo A. Madero</t>
  </si>
  <si>
    <t>11751@dominos.com.mx</t>
  </si>
  <si>
    <t>Estadio Azteca</t>
  </si>
  <si>
    <t>Eventos</t>
  </si>
  <si>
    <t>Calz. Tlalpan No. 3465</t>
  </si>
  <si>
    <t>Sta. Ursula Coapa</t>
  </si>
  <si>
    <t>Tlalpan</t>
  </si>
  <si>
    <t>11752@dominos.com.mx</t>
  </si>
  <si>
    <t>Metro Indios Verdes</t>
  </si>
  <si>
    <t>Línea 3 Del Metro;  Local Cm-06,  Nivel Mezannine  Acceso Norte</t>
  </si>
  <si>
    <t>Estación Indios Verdes;  Sn Pedro Zacat</t>
  </si>
  <si>
    <t>11755@dominos.com.mx</t>
  </si>
  <si>
    <t>Metro Tacubaya</t>
  </si>
  <si>
    <t>Línea 1 Del Metro,  Local Cc-02</t>
  </si>
  <si>
    <t>Estación Tacubaya;   Tacubaya</t>
  </si>
  <si>
    <t>Miguel Hidalgo</t>
  </si>
  <si>
    <t>11763@dominos.com.mx</t>
  </si>
  <si>
    <t>Corregidora</t>
  </si>
  <si>
    <t>Híbrida</t>
  </si>
  <si>
    <t>Erasmo Castellanos S/N Esquina Corregidora</t>
  </si>
  <si>
    <t>Centro</t>
  </si>
  <si>
    <t>11776@dominos.com.mx</t>
  </si>
  <si>
    <t>Metro Tacuba</t>
  </si>
  <si>
    <t>Metro Chabacano</t>
  </si>
  <si>
    <t>Línea 9 Del Metro,  Local Cm-03 A</t>
  </si>
  <si>
    <t>Estación Chabacano, Asturias</t>
  </si>
  <si>
    <t>11835@dominos.com.mx</t>
  </si>
  <si>
    <t>Av. Santiago No. 2921</t>
  </si>
  <si>
    <t>Iztaccihuatl</t>
  </si>
  <si>
    <t>11849@dominos.com.mx</t>
  </si>
  <si>
    <t>SD</t>
  </si>
  <si>
    <t>Metro Cuatro Caminos</t>
  </si>
  <si>
    <t>Calz. Ingenieros Militares S/N Local Cc12</t>
  </si>
  <si>
    <t>Transmisiones</t>
  </si>
  <si>
    <t>11903@dominos.com.mx</t>
  </si>
  <si>
    <t>Metro Balderas</t>
  </si>
  <si>
    <t>Cierre temporal</t>
  </si>
  <si>
    <t xml:space="preserve"> Linea 1 Av Ninos Heroes Sn Local Ca-15, Estacion Del Metro Balderas</t>
  </si>
  <si>
    <t>Doctores</t>
  </si>
  <si>
    <t>11914@dominos.com.mx</t>
  </si>
  <si>
    <t>Politécnico</t>
  </si>
  <si>
    <t>Delivery</t>
  </si>
  <si>
    <t>Alfredo Martinez Romero</t>
  </si>
  <si>
    <t>Av Instituto Politecnico Nacional Num 1925</t>
  </si>
  <si>
    <t>Lindavista</t>
  </si>
  <si>
    <t>11075@dominos.com.mx</t>
  </si>
  <si>
    <t>Texcoco</t>
  </si>
  <si>
    <t>Plaza De La Constitucion No. 112</t>
  </si>
  <si>
    <t>Centro, Texcoco</t>
  </si>
  <si>
    <t>Estado De México</t>
  </si>
  <si>
    <t>11169@dominos.com.mx</t>
  </si>
  <si>
    <t>Ticoman</t>
  </si>
  <si>
    <t>Escuadron 201, Esq. Miguel Bernard</t>
  </si>
  <si>
    <t>11196@dominos.com.mx</t>
  </si>
  <si>
    <t>Vía. Morelos</t>
  </si>
  <si>
    <t>Av. Via Morelos No. 300 Loc 1</t>
  </si>
  <si>
    <t>Tulpetlac</t>
  </si>
  <si>
    <t>Ecatepec De Morelos</t>
  </si>
  <si>
    <t>11215@dominos.com.mx</t>
  </si>
  <si>
    <t>Las Palomas</t>
  </si>
  <si>
    <t xml:space="preserve"> Av. Central No. 615, Esq. Jardines De Morelos Local P</t>
  </si>
  <si>
    <t>Carpio</t>
  </si>
  <si>
    <t>11259@dominos.com.mx</t>
  </si>
  <si>
    <t>Xalostoc</t>
  </si>
  <si>
    <t>Carretera Mexico-Laredo Km 13.5</t>
  </si>
  <si>
    <t>San Pedro Xalostoc</t>
  </si>
  <si>
    <t>11424@dominos.com.mx</t>
  </si>
  <si>
    <t>Aztecas</t>
  </si>
  <si>
    <t>Blvd. De Los Aztecas 125 Mz 503 Lt 24</t>
  </si>
  <si>
    <t>Ciudad Azteca</t>
  </si>
  <si>
    <t>11442@dominos.com.mx</t>
  </si>
  <si>
    <t>Las Americas</t>
  </si>
  <si>
    <t>Av. Central, Esq. Av. 1O. De Mayo, Mza. 4, Lt. 2, Local L-04</t>
  </si>
  <si>
    <t xml:space="preserve"> Las Americas</t>
  </si>
  <si>
    <t>11476@dominos.com.mx</t>
  </si>
  <si>
    <t>Sendero Ecatepec</t>
  </si>
  <si>
    <t>Carretera Mexico Tepexpan No 8 Tipa13 Local 01</t>
  </si>
  <si>
    <t>San Isidro Atlautenco (Dentro De Centros Comercial Plaza Sendero Ecatepec)</t>
  </si>
  <si>
    <t>11566@dominos.com.mx</t>
  </si>
  <si>
    <t>Patio Texcoco</t>
  </si>
  <si>
    <t>Camino Al Molino De La Flores S/N Local S-24 Y S-25 Centro Comercial Patio Texcoco</t>
  </si>
  <si>
    <t>Santa Cruz De Arriba</t>
  </si>
  <si>
    <t>11631@dominos.com.mx</t>
  </si>
  <si>
    <t>Americas Ecatepec</t>
  </si>
  <si>
    <t>Food Court</t>
  </si>
  <si>
    <t>Av. Central, Esq. Av. 1O. De Mayo, Mza. 4, Lt. 2, Local Fc-17</t>
  </si>
  <si>
    <t>Las Américas</t>
  </si>
  <si>
    <t>11869@dominos.com.mx</t>
  </si>
  <si>
    <t>Tecamachalco</t>
  </si>
  <si>
    <t>Alma Karen López Álvarez</t>
  </si>
  <si>
    <t>Fuente De Tritones #28</t>
  </si>
  <si>
    <t>Lomas De Tecamachalco</t>
  </si>
  <si>
    <t>Naucalpan</t>
  </si>
  <si>
    <t>11001@dominos.com.mx</t>
  </si>
  <si>
    <t>Polanco</t>
  </si>
  <si>
    <t>Homero Num 1416</t>
  </si>
  <si>
    <t>11003@dominos.com.mx</t>
  </si>
  <si>
    <t>Prado Norte</t>
  </si>
  <si>
    <t>Calle Prado Norte No. 365 Local C</t>
  </si>
  <si>
    <t>Lomas De Chapultepec I Sección</t>
  </si>
  <si>
    <t>11011@dominos.com.mx</t>
  </si>
  <si>
    <t>Anzures</t>
  </si>
  <si>
    <t>Horacio Num 308B Entre Francisco Petrarca Y Shiller</t>
  </si>
  <si>
    <t>11068@dominos.com.mx</t>
  </si>
  <si>
    <t>La Herradura</t>
  </si>
  <si>
    <t>Bosque De Moctezuma No. 1-4, Centro Comercial La Herradura</t>
  </si>
  <si>
    <t>La  Herradura</t>
  </si>
  <si>
    <t>11071@dominos.com.mx</t>
  </si>
  <si>
    <t>Toreo</t>
  </si>
  <si>
    <t>Rafael Reyes Espindola Num 491 1</t>
  </si>
  <si>
    <t>Periodistas</t>
  </si>
  <si>
    <t>11165@dominos.com.mx</t>
  </si>
  <si>
    <t>Carretera Naucalpan-Toluca No. 165</t>
  </si>
  <si>
    <t>Lomas De San Agustin</t>
  </si>
  <si>
    <t>11209@dominos.com.mx</t>
  </si>
  <si>
    <t>Av. San Esteban No.46</t>
  </si>
  <si>
    <t>San Esteban Huitzilacas</t>
  </si>
  <si>
    <t>11475@dominos.com.mx</t>
  </si>
  <si>
    <t>Cervantes Saavedra</t>
  </si>
  <si>
    <t>Miguel De Cervantes Saavedra No. 380 Local La-01 Seccion Ii</t>
  </si>
  <si>
    <t>Irrigacion</t>
  </si>
  <si>
    <t>11625@dominos.com.mx</t>
  </si>
  <si>
    <t>Parque Toreo</t>
  </si>
  <si>
    <t>Blvd. Manuel Avila Camacho No 5 F-17</t>
  </si>
  <si>
    <t>Lomas De Sotelo (Dentro De Centro Comercial Toreo)</t>
  </si>
  <si>
    <t>11949@dominos.com.mx</t>
  </si>
  <si>
    <t>Aragón</t>
  </si>
  <si>
    <t>Concepción Bonilla Bonilla</t>
  </si>
  <si>
    <t>Av. Carlos Hank González S/N, Local 77 Y 78 A (Plaza San Juan )</t>
  </si>
  <si>
    <t>Bosques De Aragón</t>
  </si>
  <si>
    <t>Nezahualcoyotl</t>
  </si>
  <si>
    <t>11132@dominos.com.mx</t>
  </si>
  <si>
    <t>Tepeyac</t>
  </si>
  <si>
    <t>Calzada De Guadalupe No. 431</t>
  </si>
  <si>
    <t>Guadalupe Tepeyac</t>
  </si>
  <si>
    <t>11141@dominos.com.mx</t>
  </si>
  <si>
    <t>Multiplaza</t>
  </si>
  <si>
    <t>Dine In</t>
  </si>
  <si>
    <t>Av. Hank Gonzalez No. 120, Local 256</t>
  </si>
  <si>
    <t>Fracc. Rinconada Ara</t>
  </si>
  <si>
    <t>11159@dominos.com.mx</t>
  </si>
  <si>
    <t>Vallejo</t>
  </si>
  <si>
    <t>Cuitlahuac No. 8 Bis</t>
  </si>
  <si>
    <t>El Porvenir</t>
  </si>
  <si>
    <t>11200@dominos.com.mx</t>
  </si>
  <si>
    <t>Plaza Oriente</t>
  </si>
  <si>
    <t>Calzada De San Juan De Aragon  No. 516</t>
  </si>
  <si>
    <t>El Coyol</t>
  </si>
  <si>
    <t>11207@dominos.com.mx</t>
  </si>
  <si>
    <t>Valle De Aragón</t>
  </si>
  <si>
    <t>Av. Central No. 253</t>
  </si>
  <si>
    <t>Valle De Aragón 3Era Seccion</t>
  </si>
  <si>
    <t>11211@dominos.com.mx</t>
  </si>
  <si>
    <t>Prado Vallejo</t>
  </si>
  <si>
    <t>Calzada Vallejo N° 1178</t>
  </si>
  <si>
    <t xml:space="preserve">Prado Vallejo </t>
  </si>
  <si>
    <t>11250@dominos.com.mx</t>
  </si>
  <si>
    <t>Quinientas</t>
  </si>
  <si>
    <t>Av 535 Esq Con 506 Num 116</t>
  </si>
  <si>
    <t>Unidad San Juan</t>
  </si>
  <si>
    <t>11289@dominos.com.mx</t>
  </si>
  <si>
    <t>Aragon Iv Continente</t>
  </si>
  <si>
    <t>Av Central Mz 88 Lt 36 37 Y 38 Num 243 Loc A</t>
  </si>
  <si>
    <t>11480@dominos.com.mx</t>
  </si>
  <si>
    <t>Multiplaza Aragón Ii</t>
  </si>
  <si>
    <t>Av. Carlos Hank González No. 120 Local 88-Am, Centro Comercial Multiplaza Aragón</t>
  </si>
  <si>
    <t>Rinconada De Aragón</t>
  </si>
  <si>
    <t>11554@dominos.com.mx</t>
  </si>
  <si>
    <t>La Villa</t>
  </si>
  <si>
    <t>Calzada De Gpe 711</t>
  </si>
  <si>
    <t>Aragon La Villa</t>
  </si>
  <si>
    <t>12349@dominos.com.mx</t>
  </si>
  <si>
    <t>Azcapotzalco</t>
  </si>
  <si>
    <t>Diego Cesar Garcia Hernandez</t>
  </si>
  <si>
    <t xml:space="preserve">Calzada De Camarones No 437.Esquina Salonica </t>
  </si>
  <si>
    <t>Electricistas</t>
  </si>
  <si>
    <t>11120@dominos.com.mx</t>
  </si>
  <si>
    <t>Rosario</t>
  </si>
  <si>
    <t xml:space="preserve"> Av. Aquiles Serdan No 1193</t>
  </si>
  <si>
    <t>Tierra Nueva</t>
  </si>
  <si>
    <t>11155@dominos.com.mx</t>
  </si>
  <si>
    <t>San Isidro</t>
  </si>
  <si>
    <t>Calzada Camarones Num 471</t>
  </si>
  <si>
    <t>San Pedro Xalpa</t>
  </si>
  <si>
    <t>11440@dominos.com.mx</t>
  </si>
  <si>
    <t>Patio Claveria</t>
  </si>
  <si>
    <t>Egipto N°142 Local Sb15 Del. Azcapotzalco</t>
  </si>
  <si>
    <t>Clavería</t>
  </si>
  <si>
    <t>11560@dominos.com.mx</t>
  </si>
  <si>
    <t>Parque Lindavista</t>
  </si>
  <si>
    <t>Colector 13, No. 280</t>
  </si>
  <si>
    <t>Magdalena De Las Salinas</t>
  </si>
  <si>
    <t>11881@dominos.com.mx</t>
  </si>
  <si>
    <t>Centro Comercial El Rosario</t>
  </si>
  <si>
    <t>Av. Del Rosario # 1025 Esq. Aquiles Serdan Local Cr-04</t>
  </si>
  <si>
    <t>San Martín</t>
  </si>
  <si>
    <t>11928@dominos.com.mx</t>
  </si>
  <si>
    <t>Parque Vía Vallejo</t>
  </si>
  <si>
    <t>Calzada Vallejo N° 1090 Local E-218 Pb Centro Comercial Parque Via Vallejo</t>
  </si>
  <si>
    <t>Industrial Vallejo</t>
  </si>
  <si>
    <t>11940@dominos.com.mx</t>
  </si>
  <si>
    <t>Ahuehuetes</t>
  </si>
  <si>
    <t>Av. Tlanepantla No.25 Local Pb30</t>
  </si>
  <si>
    <t>San  Bartolo Tenayuca</t>
  </si>
  <si>
    <t>Tlalnepantla</t>
  </si>
  <si>
    <t>12311@dominos.com.mx</t>
  </si>
  <si>
    <t>Edgar Hernandez Sanchez</t>
  </si>
  <si>
    <t xml:space="preserve">Av  Adolfo López Mateos N° 22 E </t>
  </si>
  <si>
    <t xml:space="preserve">Frac Sta. Cruz Del Monte </t>
  </si>
  <si>
    <t>11017@dominos.com.mx</t>
  </si>
  <si>
    <t>La Florida</t>
  </si>
  <si>
    <t>Blvdmanuel Ávila Camacho N° 1155</t>
  </si>
  <si>
    <t>11018@dominos.com.mx</t>
  </si>
  <si>
    <t>Lomas Verdes</t>
  </si>
  <si>
    <t>Blvd Del Centro Mz. 58 Lote 18 Y 19</t>
  </si>
  <si>
    <t>Boulevares</t>
  </si>
  <si>
    <t>Naucalpan De Juárez</t>
  </si>
  <si>
    <t>11024@dominos.com.mx</t>
  </si>
  <si>
    <t>Atizapan</t>
  </si>
  <si>
    <t>Av. Sn.Mateo N° 17 Local 10 Y  12</t>
  </si>
  <si>
    <t>Atizapán Centro Plaza Cristal</t>
  </si>
  <si>
    <t>11057@dominos.com.mx</t>
  </si>
  <si>
    <t>Av. Sor Juana Inés De La Cruz N°101A</t>
  </si>
  <si>
    <t>11153@dominos.com.mx</t>
  </si>
  <si>
    <t>Zona Esmeralda</t>
  </si>
  <si>
    <t>Jorge Jiménez Cantú N°11 Local 2</t>
  </si>
  <si>
    <t xml:space="preserve">Rancho Viejo </t>
  </si>
  <si>
    <t>11206@dominos.com.mx</t>
  </si>
  <si>
    <t>San Mateo</t>
  </si>
  <si>
    <t>Av. Adolfo López Mateos No. 43 Local B</t>
  </si>
  <si>
    <t>Jardines De San Mateo</t>
  </si>
  <si>
    <t>11564@dominos.com.mx</t>
  </si>
  <si>
    <t>Santa Cecilia</t>
  </si>
  <si>
    <t>Av. San Rafael No. 7 C-2 Locales 8 Y 9</t>
  </si>
  <si>
    <t>San Rafael</t>
  </si>
  <si>
    <t>11626@dominos.com.mx</t>
  </si>
  <si>
    <t>Multiplaza Alamedas</t>
  </si>
  <si>
    <t>Blvd. Adolfo López Mateos # 100, Col. Alamedas</t>
  </si>
  <si>
    <t>Alamedas</t>
  </si>
  <si>
    <t>Atizapan De Zaragoza</t>
  </si>
  <si>
    <t>12303@dominos.com.mx</t>
  </si>
  <si>
    <t>Galerías Atizapán</t>
  </si>
  <si>
    <t>Av Ruíz Cortinez 255</t>
  </si>
  <si>
    <t>12340@dominos.com.mx</t>
  </si>
  <si>
    <t>Av Lomas Verdes 1200</t>
  </si>
  <si>
    <t>12347@dominos.com.mx</t>
  </si>
  <si>
    <t>Condesa</t>
  </si>
  <si>
    <t>Gustavo Pedro Tenorio</t>
  </si>
  <si>
    <t>Michoacan N°119</t>
  </si>
  <si>
    <t>Hipódromo Condesa</t>
  </si>
  <si>
    <t>11055@dominos.com.mx</t>
  </si>
  <si>
    <t>Zona Rosa</t>
  </si>
  <si>
    <t>Hamburgo No. 113 Local B</t>
  </si>
  <si>
    <t>Juárez</t>
  </si>
  <si>
    <t>11058@dominos.com.mx</t>
  </si>
  <si>
    <t>Melchor Ocampo</t>
  </si>
  <si>
    <t>Laguna De Mayran Num 411 Loc D2 Bis Esquina Marina Nacional No. 330</t>
  </si>
  <si>
    <t>Anahuac Los Manzanos</t>
  </si>
  <si>
    <t>11089@dominos.com.mx</t>
  </si>
  <si>
    <t>Tlatelolco</t>
  </si>
  <si>
    <t>Guerrero Num 395 Loc 10 Y 18</t>
  </si>
  <si>
    <t>Guerrero Tlatelolco</t>
  </si>
  <si>
    <t>11096@dominos.com.mx</t>
  </si>
  <si>
    <t>Legaría</t>
  </si>
  <si>
    <t>Calz Legaria 252 Local 2</t>
  </si>
  <si>
    <t>Pensil Norte</t>
  </si>
  <si>
    <t>11210@dominos.com.mx</t>
  </si>
  <si>
    <t>Roma</t>
  </si>
  <si>
    <t>Insurgentes Sur No. 388</t>
  </si>
  <si>
    <t>Roma,</t>
  </si>
  <si>
    <t>11219@dominos.com.mx</t>
  </si>
  <si>
    <t>Edison</t>
  </si>
  <si>
    <t>Insurgentes Centro No. 34, Esq. Tomas Alba Edison</t>
  </si>
  <si>
    <t>Tabacalera</t>
  </si>
  <si>
    <t>11290@dominos.com.mx</t>
  </si>
  <si>
    <t>Parques Polanco</t>
  </si>
  <si>
    <t>Lago Alberto N°320  N°Ext Sb16</t>
  </si>
  <si>
    <t>Col. Anahuac I Seccion Centro Comercial Conjunto
Magno Parques Polanco Del. Miguel Hidalgo</t>
  </si>
  <si>
    <t>11580@dominos.com.mx</t>
  </si>
  <si>
    <t>Reforma 222</t>
  </si>
  <si>
    <t>Av Reforma Num 222 Local Ff-12</t>
  </si>
  <si>
    <t>Juarez</t>
  </si>
  <si>
    <t>11892@dominos.com.mx</t>
  </si>
  <si>
    <t>Santa María La Ribera</t>
  </si>
  <si>
    <t>Manuel Carpio #99 Local 33</t>
  </si>
  <si>
    <t>Santa Maria La Ribera</t>
  </si>
  <si>
    <t>12308@dominos.com.mx</t>
  </si>
  <si>
    <t>Plaza Cuauhtémoc</t>
  </si>
  <si>
    <t>Av Cuauhtemoc 19</t>
  </si>
  <si>
    <t>Roma Norte</t>
  </si>
  <si>
    <t>12341@dominos.com.mx</t>
  </si>
  <si>
    <t>Coacalco</t>
  </si>
  <si>
    <t>Marcela Reyes Rodriguez</t>
  </si>
  <si>
    <t>Ex Ejido San Francisco N° 14 Z-1 P1 Interior A 43 44 45 / Dentro De Centro Comercial Multiplaza Coacalco</t>
  </si>
  <si>
    <t>Fraccionamiento San Francisco</t>
  </si>
  <si>
    <t>Coacalco De Berriozabal</t>
  </si>
  <si>
    <t>11154@dominos.com.mx</t>
  </si>
  <si>
    <t>Ecatepec</t>
  </si>
  <si>
    <t>Av. Ecatepec No. 26, Esq. Via Morelos</t>
  </si>
  <si>
    <t>Puente De San Cristobal</t>
  </si>
  <si>
    <t>11164@dominos.com.mx</t>
  </si>
  <si>
    <t>Tultitlán</t>
  </si>
  <si>
    <t>Av. Prados Y Pradera, Lote 1A Manzana Mitad 100</t>
  </si>
  <si>
    <t>San Pablo De Las Salinas</t>
  </si>
  <si>
    <t>Tultitlan</t>
  </si>
  <si>
    <t>11193@dominos.com.mx</t>
  </si>
  <si>
    <t>Coacalco Ii</t>
  </si>
  <si>
    <t>Av. López Portillo No. 336, Esq. Av. De Las Flores</t>
  </si>
  <si>
    <t>Guadalupe Victoria</t>
  </si>
  <si>
    <t>11242@dominos.com.mx</t>
  </si>
  <si>
    <t>Ojo De Agua</t>
  </si>
  <si>
    <t xml:space="preserve">Azucena Manzana 133 Lote 29 Esq. Blvd. Ojo De Agua </t>
  </si>
  <si>
    <t>Jardines Ojo De Agua</t>
  </si>
  <si>
    <t>Tecamac</t>
  </si>
  <si>
    <t>11306@dominos.com.mx</t>
  </si>
  <si>
    <t>Av. Sierra Hermosa No.2-A, Lt. 4, Loc. 6 Y 7 Centro Comercial Chedraui (Con Planta Alta)</t>
  </si>
  <si>
    <t>Fracc. Sierra Hermosa</t>
  </si>
  <si>
    <t>11477@dominos.com.mx</t>
  </si>
  <si>
    <t>Zumpango</t>
  </si>
  <si>
    <t>Carretera Zumpango-Los Reyes #2000, Local I-34 , I-35</t>
  </si>
  <si>
    <t>Rancherias Buenavista, Centro Comercial Town Center</t>
  </si>
  <si>
    <t>11548@dominos.com.mx</t>
  </si>
  <si>
    <t>Grand Plaza Ecatepec</t>
  </si>
  <si>
    <t>Av. Insurgentes No. 102 Locales 01, 01, 03</t>
  </si>
  <si>
    <t>El Calvario</t>
  </si>
  <si>
    <t>12342@dominos.com.mx</t>
  </si>
  <si>
    <t>Vacante</t>
  </si>
  <si>
    <t>Fray Servando Teresa De Mier Num 160</t>
  </si>
  <si>
    <t>Venustiano Carranza</t>
  </si>
  <si>
    <t>11012@dominos.com.mx</t>
  </si>
  <si>
    <t>Jardín Balbuena</t>
  </si>
  <si>
    <t>Fray Servando Teresa De Mier Num 921 L A</t>
  </si>
  <si>
    <t>Jardin Balbuena</t>
  </si>
  <si>
    <t>11106@dominos.com.mx</t>
  </si>
  <si>
    <t>Churubusco</t>
  </si>
  <si>
    <t>Av. Churubusco No. 1072 Subancla 03 Centro Comercial Centralia Churubusco</t>
  </si>
  <si>
    <t>Nueva Rosita</t>
  </si>
  <si>
    <t>Iztapalapa</t>
  </si>
  <si>
    <t>11143@dominos.com.mx</t>
  </si>
  <si>
    <t>Eduardo Molina</t>
  </si>
  <si>
    <t>Calle Aluminio No.401, Local "A"</t>
  </si>
  <si>
    <t>Veinte De Noviembre</t>
  </si>
  <si>
    <t>11173@dominos.com.mx</t>
  </si>
  <si>
    <t>Walmart Rojo Gómez</t>
  </si>
  <si>
    <t>Av Canal De Tezontle Num 1520</t>
  </si>
  <si>
    <t>Alfonso Ortiz T,</t>
  </si>
  <si>
    <t>11243@dominos.com.mx</t>
  </si>
  <si>
    <t>Isabel La Católica</t>
  </si>
  <si>
    <t>Isabel La Catolica Num 414</t>
  </si>
  <si>
    <t>Obrera</t>
  </si>
  <si>
    <t>11345@dominos.com.mx</t>
  </si>
  <si>
    <t>Tacuba Centro</t>
  </si>
  <si>
    <t>Tacuba No. 74-A</t>
  </si>
  <si>
    <t>11844@dominos.com.mx</t>
  </si>
  <si>
    <t>Parque Delta</t>
  </si>
  <si>
    <t>Av. Cuauhtémoc No.462, Local Fc-08 (En El Food Court De La Plaza)</t>
  </si>
  <si>
    <t>Narvarte</t>
  </si>
  <si>
    <t>11871@dominos.com.mx</t>
  </si>
  <si>
    <t>Parque Tezontle</t>
  </si>
  <si>
    <t>Av Canal De Tezontle Num 1512 Local Fc-17</t>
  </si>
  <si>
    <t>Doctor Alfonso Ortiz Tirado</t>
  </si>
  <si>
    <t>11891@dominos.com.mx</t>
  </si>
  <si>
    <t>Plaza Aeropuerto</t>
  </si>
  <si>
    <t>Ignacio Zaragoza No. 270 Locales 11 Y 12, Centro Comercial Plaza Aeropuerto</t>
  </si>
  <si>
    <t>Santa Cruz Aviación</t>
  </si>
  <si>
    <t>11939@dominos.com.mx</t>
  </si>
  <si>
    <t>Jamaica</t>
  </si>
  <si>
    <t>Eje 3 Sur Av. Morelos No. 514 Local 5</t>
  </si>
  <si>
    <t>Magdalena Mixhuca</t>
  </si>
  <si>
    <t>12321@dominos.com.mx</t>
  </si>
  <si>
    <t>Perinorte</t>
  </si>
  <si>
    <t>Yonatan Ivan Donato Hernandez</t>
  </si>
  <si>
    <t xml:space="preserve">Blvd  A Querétaro N° 2641 Esq. Calle 6 </t>
  </si>
  <si>
    <t>Viveros Del Valle</t>
  </si>
  <si>
    <t>11087@dominos.com.mx</t>
  </si>
  <si>
    <t>Izcalli</t>
  </si>
  <si>
    <t xml:space="preserve"> Av. Dr. Jimenez Cantu S/N Local  H-3 Al H-6, (Centro Comercial Multiplaza Iacalli)</t>
  </si>
  <si>
    <t>Atlanta, Cuautitlan Izcalli</t>
  </si>
  <si>
    <t>Cuautitlan Izcalli</t>
  </si>
  <si>
    <t>11168@dominos.com.mx</t>
  </si>
  <si>
    <t>Blvd Cuautitlán Izcalli Atizapán N°276</t>
  </si>
  <si>
    <t>Hacienda De La Luz Atizapán</t>
  </si>
  <si>
    <t>11184@dominos.com.mx</t>
  </si>
  <si>
    <t>Cuautitlán Ii</t>
  </si>
  <si>
    <t>Av. 20 De Noviembre No. 109</t>
  </si>
  <si>
    <t>Centro, Cuautitlan</t>
  </si>
  <si>
    <t>11190@dominos.com.mx</t>
  </si>
  <si>
    <t>Cuautitlán Iii</t>
  </si>
  <si>
    <t>Av. Chalma S/N, Esq. Tierra Arbolada, Sección Parques</t>
  </si>
  <si>
    <t>Parques, Cuautitlan Izcalli</t>
  </si>
  <si>
    <t>11239@dominos.com.mx</t>
  </si>
  <si>
    <t>Villa Nicolás</t>
  </si>
  <si>
    <t>Av. Hidalgo No. 64 - A Esq. Con Retorno De Hidalgo</t>
  </si>
  <si>
    <t xml:space="preserve"> Hidalgo 1A. Y 2A Sección</t>
  </si>
  <si>
    <t>Villa Nicolas Romero</t>
  </si>
  <si>
    <t>11257@dominos.com.mx</t>
  </si>
  <si>
    <t>Arboledas</t>
  </si>
  <si>
    <t>Av. Paseo De Los Jinetes N° 68 L3</t>
  </si>
  <si>
    <t>Las Arboledas, Valle Dorado</t>
  </si>
  <si>
    <t>11314@dominos.com.mx</t>
  </si>
  <si>
    <t>San Marcos</t>
  </si>
  <si>
    <t>Av. Chalma S/N, Esq. Paseo De Las Haciendas, Loc. 10, 11, 12, Interior Wal Mart Plaza San Marcos</t>
  </si>
  <si>
    <t>Jardines Del S.</t>
  </si>
  <si>
    <t>11449@dominos.com.mx</t>
  </si>
  <si>
    <t>Granjas Guadalupe</t>
  </si>
  <si>
    <t>Carretera Atizapan Nicolas Romero Km. 13.5</t>
  </si>
  <si>
    <t>11461@dominos.com.mx</t>
  </si>
  <si>
    <t>Izcalli Sur</t>
  </si>
  <si>
    <t xml:space="preserve">Calle Paseo Del Bosque S/N Interior 12 </t>
  </si>
  <si>
    <t>Granjas Lomas De Guadalupe</t>
  </si>
  <si>
    <t>11555@dominos.com.mx</t>
  </si>
  <si>
    <t>Mundo E</t>
  </si>
  <si>
    <t>Blvd. Ávila Camacho 1007 L4 Sc</t>
  </si>
  <si>
    <t>San Lucas T.</t>
  </si>
  <si>
    <t>11778@dominos.com.mx</t>
  </si>
  <si>
    <t>San Miguel Izcalli</t>
  </si>
  <si>
    <t>Av Huehuetoca Mz 23 Lote 01</t>
  </si>
  <si>
    <t>Ex Hacienda San Miguel</t>
  </si>
  <si>
    <t>12344@dominos.com.mx</t>
  </si>
  <si>
    <t>001</t>
  </si>
  <si>
    <t>Angel Cruz Jimenez</t>
  </si>
  <si>
    <t>Av. Rio Mayo No. 1207 Y 1209 Local 24 Pabellon V. Hermosa</t>
  </si>
  <si>
    <t>Vista Hermosa</t>
  </si>
  <si>
    <t>Cuernavaca</t>
  </si>
  <si>
    <t>Morelos</t>
  </si>
  <si>
    <t>11005@dominos.com.mx</t>
  </si>
  <si>
    <t>Av. Alta Tension N° 202 Locales 6 Y 7</t>
  </si>
  <si>
    <t>Cantarranas</t>
  </si>
  <si>
    <t>11044@dominos.com.mx</t>
  </si>
  <si>
    <t>Av. Emiliano Zapata No. 402</t>
  </si>
  <si>
    <t>Tlaltenango</t>
  </si>
  <si>
    <t>11086@dominos.com.mx</t>
  </si>
  <si>
    <t>Blvd. Cuaunahuac Km. 6.5 Local 12</t>
  </si>
  <si>
    <t>Moctezuma</t>
  </si>
  <si>
    <t>11149@dominos.com.mx</t>
  </si>
  <si>
    <t>Av. Insurgentes 239 Letra D</t>
  </si>
  <si>
    <t>Emiliano Zapata</t>
  </si>
  <si>
    <t>Cuautla</t>
  </si>
  <si>
    <t>11161@dominos.com.mx</t>
  </si>
  <si>
    <t>Av Paseo Cuahnahuac Num 15</t>
  </si>
  <si>
    <t>Ricardo Flores Magon</t>
  </si>
  <si>
    <t>11272@dominos.com.mx</t>
  </si>
  <si>
    <t>Av. Emiliano Zapata No. 2 Entre Plutarco Elias Calles</t>
  </si>
  <si>
    <t>Temixco, Centro</t>
  </si>
  <si>
    <t>Temixco</t>
  </si>
  <si>
    <t>11286@dominos.com.mx</t>
  </si>
  <si>
    <t>Calle Hidalgo No. 7 Local B Esq. Galeana</t>
  </si>
  <si>
    <t>11506@dominos.com.mx</t>
  </si>
  <si>
    <t>Antigua Carretera Mexico Cuautla N° 4 N°Ext Sa-3</t>
  </si>
  <si>
    <t>Col. Miguel Hidalgo / Se Encuentra Dentro De Mega Comercial Mexicana</t>
  </si>
  <si>
    <t>11579@dominos.com.mx</t>
  </si>
  <si>
    <t>Autopista México Cuernavaca Km. 87.85 Local 209</t>
  </si>
  <si>
    <t>Flores Magón</t>
  </si>
  <si>
    <t>11784@dominos.com.mx</t>
  </si>
  <si>
    <t>Prolongacion Palmira No. 221 Locales 1 Y 2</t>
  </si>
  <si>
    <t>Palmira Tinguindin</t>
  </si>
  <si>
    <t>12318@dominos.com.mx</t>
  </si>
  <si>
    <t>Calle Campo Florido No. 306 (Antes 1)</t>
  </si>
  <si>
    <t>Santa María Ahuacatitlán</t>
  </si>
  <si>
    <t>12354@dominos.com.mx</t>
  </si>
  <si>
    <t>Cesar Daniel Gonzalez Valdespino</t>
  </si>
  <si>
    <t>Av. Stim Num. 1320 Planta Baja Local 2, 2Da. Secc. (En La Zona De Restaurantes Entre Calle Cartuchos Y Municiones )</t>
  </si>
  <si>
    <t>Lomas Del Chamizal</t>
  </si>
  <si>
    <t>Alvaro Obregon</t>
  </si>
  <si>
    <t>11021@dominos.com.mx</t>
  </si>
  <si>
    <t>Av. Noche De Paz Núm. 14 Local 1,2 Y 3</t>
  </si>
  <si>
    <t>11029@dominos.com.mx</t>
  </si>
  <si>
    <t>Ernesto J. Pipper Núm. 9</t>
  </si>
  <si>
    <t>Paseos De Las Lomas</t>
  </si>
  <si>
    <t>11172@dominos.com.mx</t>
  </si>
  <si>
    <t>Blvd. 5M 2-A Planta Baja Local 102 Plaza Gourmet</t>
  </si>
  <si>
    <t>Magno Centro</t>
  </si>
  <si>
    <t>Huixquilucan</t>
  </si>
  <si>
    <t>11335@dominos.com.mx</t>
  </si>
  <si>
    <t>Av. México Núm. 107 Esq. Av. Juárez Local 1</t>
  </si>
  <si>
    <t>Cuajimalpa</t>
  </si>
  <si>
    <t>11447@dominos.com.mx</t>
  </si>
  <si>
    <t>Av. Jesús Del Monte #44 Local 1</t>
  </si>
  <si>
    <t>Jesús Del Monte, Huixquilucan</t>
  </si>
  <si>
    <t>11530@dominos.com.mx</t>
  </si>
  <si>
    <t>Av Vasco De Quiroga 3900 Lo-0122</t>
  </si>
  <si>
    <t>Tlaxcala (A Un Costado De Centro Comercial Santa Fe)</t>
  </si>
  <si>
    <t>11565@dominos.com.mx</t>
  </si>
  <si>
    <t>Vasco De Quiroga # 1684</t>
  </si>
  <si>
    <t>Santa Fe</t>
  </si>
  <si>
    <t>11622@dominos.com.mx</t>
  </si>
  <si>
    <t>Edith Nalleli Flores Hernandez</t>
  </si>
  <si>
    <t>Hacienda De Acambay No. 2, Local 1, Esq. Av. Acoxp</t>
  </si>
  <si>
    <t>Prado Coapa</t>
  </si>
  <si>
    <t>11062@dominos.com.mx</t>
  </si>
  <si>
    <t>Lt 1 Mza.5 Del Nuevo Ejido De Santa Ursula Coapa, Lateral De Periferico Entre Tlalpan Y Circuito</t>
  </si>
  <si>
    <t>Media Luna</t>
  </si>
  <si>
    <t>11098@dominos.com.mx</t>
  </si>
  <si>
    <t>Av. 16 De Septiembre No. 304 Local D Y E</t>
  </si>
  <si>
    <t>Arenal Tepepan</t>
  </si>
  <si>
    <t>Xochimilco</t>
  </si>
  <si>
    <t>11140@dominos.com.mx</t>
  </si>
  <si>
    <t>Ermita Iztapalapa No. 941 Local 5</t>
  </si>
  <si>
    <t>Santa Isabel Industrial</t>
  </si>
  <si>
    <t>11174@dominos.com.mx</t>
  </si>
  <si>
    <t>Pino No. 38</t>
  </si>
  <si>
    <t>Barrio El Rosario</t>
  </si>
  <si>
    <t>11199@dominos.com.mx</t>
  </si>
  <si>
    <t>Ermita Iztapalapa No. 1853 Local 3 Dentro Del Centro Comercial Serviplaza</t>
  </si>
  <si>
    <t>Los Angeles</t>
  </si>
  <si>
    <t>11583@dominos.com.mx</t>
  </si>
  <si>
    <t>Av. Tlahuac No. 3662</t>
  </si>
  <si>
    <t>San Lorenzo Tezonco</t>
  </si>
  <si>
    <t>Tlahuac</t>
  </si>
  <si>
    <t>11743@dominos.com.mx</t>
  </si>
  <si>
    <t>Centro Comercial Perisur Local 520, Av. Periferico Sur No.4690</t>
  </si>
  <si>
    <t>Ampliación Jardínes Del Pedregal</t>
  </si>
  <si>
    <t>11828@dominos.com.mx</t>
  </si>
  <si>
    <t>Avenida Acoxpa N°430 Fc-11.Centro Comercial Paseo Acoxpa</t>
  </si>
  <si>
    <t>Vergel Del Sur</t>
  </si>
  <si>
    <t>11944@dominos.com.mx</t>
  </si>
  <si>
    <t>Camino A Nativitas No 471 Local 01</t>
  </si>
  <si>
    <t>Barrio Xaltocan</t>
  </si>
  <si>
    <t>12300@dominos.com.mx</t>
  </si>
  <si>
    <t>Elizabeth Mendez Cano</t>
  </si>
  <si>
    <t>Avenida Insurgentes Sur N°1548 Int A</t>
  </si>
  <si>
    <t>Credito Constructor</t>
  </si>
  <si>
    <t>11013@dominos.com.mx</t>
  </si>
  <si>
    <t>Georgia No. 120 Local A Esq. Pensilvania</t>
  </si>
  <si>
    <t>Nápoles</t>
  </si>
  <si>
    <t>11026@dominos.com.mx</t>
  </si>
  <si>
    <t>Local Comercial G Calz. De La Aguilas No. 873</t>
  </si>
  <si>
    <t>Ampliación Las Aguilas</t>
  </si>
  <si>
    <t>11036@dominos.com.mx</t>
  </si>
  <si>
    <t>Av. Santa Lucía No. 1043 Locales 1,2 Y 3</t>
  </si>
  <si>
    <t>Colinas Del Sur</t>
  </si>
  <si>
    <t>11197@dominos.com.mx</t>
  </si>
  <si>
    <t>Prolongación Rosa Blanca Lte. 7 Mz. 16 Esq. Av. Centro</t>
  </si>
  <si>
    <t>Minas De Cristo</t>
  </si>
  <si>
    <t>11339@dominos.com.mx</t>
  </si>
  <si>
    <t>Blvd. Lopez Mateos N° Int 1701 N° Ext L-3</t>
  </si>
  <si>
    <t>Lomas De Plateros</t>
  </si>
  <si>
    <t>11578@dominos.com.mx</t>
  </si>
  <si>
    <t>Prolongacion 5 De Mayo No 3121 Local A-01 Pb</t>
  </si>
  <si>
    <t>Exhacienda De Tarango</t>
  </si>
  <si>
    <t>11634@dominos.com.mx</t>
  </si>
  <si>
    <t>Av. Insurgentes Sur 729 Local B-C-D</t>
  </si>
  <si>
    <t>11913@dominos.com.mx</t>
  </si>
  <si>
    <t>Av. Revolucion 1267 Local F-02</t>
  </si>
  <si>
    <t>Alpes</t>
  </si>
  <si>
    <t>11977@dominos.com.mx</t>
  </si>
  <si>
    <t>Calle 10 #132 Local 6 Centro Comercial Plaza Exhibimex</t>
  </si>
  <si>
    <t>San Pedro De Los Pinos</t>
  </si>
  <si>
    <t>12319@dominos.com.mx</t>
  </si>
  <si>
    <t>Jose Juan Gallegos Santoyo</t>
  </si>
  <si>
    <t>Insurgentes Sur No. 2375 , Frente Al Metro Bus Dr. Galvez</t>
  </si>
  <si>
    <t>San Angel</t>
  </si>
  <si>
    <t>11004@dominos.com.mx</t>
  </si>
  <si>
    <t>Av. Periférico Sur No. 4132</t>
  </si>
  <si>
    <t>Jardines De Pedregal</t>
  </si>
  <si>
    <t>11022@dominos.com.mx</t>
  </si>
  <si>
    <t>Avenida San Jeronimo N° 819 Local 02 Centro Comercial Pasaje San Jeronimo</t>
  </si>
  <si>
    <t>San Jeronimo Lidice</t>
  </si>
  <si>
    <t>Magdalena Contreras</t>
  </si>
  <si>
    <t>11066@dominos.com.mx</t>
  </si>
  <si>
    <t>Insurgentes Sur 3724</t>
  </si>
  <si>
    <t>Peña Pobre</t>
  </si>
  <si>
    <t>11124@dominos.com.mx</t>
  </si>
  <si>
    <t>Olivar De Los Padres No. 1086</t>
  </si>
  <si>
    <t>Olivar De Los Padres</t>
  </si>
  <si>
    <t>11126@dominos.com.mx</t>
  </si>
  <si>
    <t>Alvaro Obregón No. 92</t>
  </si>
  <si>
    <t>11233@dominos.com.mx</t>
  </si>
  <si>
    <t>Carretera Federal A Cuernavaca No. 5595 Local 1,2,3 Y 4</t>
  </si>
  <si>
    <t>San Pedro Martir</t>
  </si>
  <si>
    <t>11255@dominos.com.mx</t>
  </si>
  <si>
    <t>Carretera Picacho Al Ajusco No. 714 O 741 Local A</t>
  </si>
  <si>
    <t>Colinas Del Ajusco</t>
  </si>
  <si>
    <t>11264@dominos.com.mx</t>
  </si>
  <si>
    <t>Union No. 3 Local 04</t>
  </si>
  <si>
    <t>Lomas Del Pedregal</t>
  </si>
  <si>
    <t>12320@dominos.com.mx</t>
  </si>
  <si>
    <t>Juan Carlos Cebada Rivera</t>
  </si>
  <si>
    <t>Av. Cafetales No. 1739</t>
  </si>
  <si>
    <t>Exhacienda De Coyoacan</t>
  </si>
  <si>
    <t>11009@dominos.com.mx</t>
  </si>
  <si>
    <t>Divisiòn Del Norte No. 2943 Locales 10 Y 11 Plaza Manzana Esq. Miguel Angel De Quevedo</t>
  </si>
  <si>
    <t>El Rosedal</t>
  </si>
  <si>
    <t>11056@dominos.com.mx</t>
  </si>
  <si>
    <t>Ciruelos No. 2 Local 4</t>
  </si>
  <si>
    <t>Cipreses</t>
  </si>
  <si>
    <t>11100@dominos.com.mx</t>
  </si>
  <si>
    <t>Av.Santiago No. 2921 Esq. Plutarco Elias</t>
  </si>
  <si>
    <t>Iztatzihualt</t>
  </si>
  <si>
    <t>Iztacalco</t>
  </si>
  <si>
    <t>11121@dominos.com.mx</t>
  </si>
  <si>
    <t>Benito Juárez No. 1</t>
  </si>
  <si>
    <t>Presidentes De México</t>
  </si>
  <si>
    <t>11148@dominos.com.mx</t>
  </si>
  <si>
    <t>Av. Juárez No. 160</t>
  </si>
  <si>
    <t>Zapotitlan</t>
  </si>
  <si>
    <t>11258@dominos.com.mx</t>
  </si>
  <si>
    <t>Av. Santa Ana No 218 Pb Esquina San Francisco Culhuacan</t>
  </si>
  <si>
    <t>Ex Ejidos De Culhuacan</t>
  </si>
  <si>
    <t>11452@dominos.com.mx</t>
  </si>
  <si>
    <t>Av. Tlahuac No. 3843</t>
  </si>
  <si>
    <t>San Andrés Tomatlán</t>
  </si>
  <si>
    <t>11470@dominos.com.mx</t>
  </si>
  <si>
    <t>Periferico #3278 Loc.Fc02-03</t>
  </si>
  <si>
    <t>La Esperanza</t>
  </si>
  <si>
    <t>12402@dominos.com.mx</t>
  </si>
  <si>
    <t>Juan Jose Escobar Cruz</t>
  </si>
  <si>
    <t>Costera Miguel Aleman No. 54 Loc 1 Esq. Anton De Alaminos</t>
  </si>
  <si>
    <t>Fraccionamiento Costa Azul</t>
  </si>
  <si>
    <t>Acapulco</t>
  </si>
  <si>
    <t>Guerrero</t>
  </si>
  <si>
    <t>11019@dominos.com.mx</t>
  </si>
  <si>
    <t>Costera Miguel Aleman No. 2001-1 Esq. Enrique El Navegante</t>
  </si>
  <si>
    <t>Fraccionamiento Magallanes</t>
  </si>
  <si>
    <t>11061@dominos.com.mx</t>
  </si>
  <si>
    <t>Av Lazaro Cardenas Num 10</t>
  </si>
  <si>
    <t>Chilpancingo</t>
  </si>
  <si>
    <t>11198@dominos.com.mx</t>
  </si>
  <si>
    <t>Av. Bandera Nacional No. 29</t>
  </si>
  <si>
    <t>Iguala</t>
  </si>
  <si>
    <t>11208@dominos.com.mx</t>
  </si>
  <si>
    <t>Av Ruiz Cortines No. 1517</t>
  </si>
  <si>
    <t>Alta Progreso</t>
  </si>
  <si>
    <t>11307@dominos.com.mx</t>
  </si>
  <si>
    <t>Blvd. Jose Lopez Portillo Lote No. 13</t>
  </si>
  <si>
    <t>Renacimiento</t>
  </si>
  <si>
    <t>11334@dominos.com.mx</t>
  </si>
  <si>
    <t>Av Constituyentes No. 67</t>
  </si>
  <si>
    <t>Rancho Alegre</t>
  </si>
  <si>
    <t>11342@dominos.com.mx</t>
  </si>
  <si>
    <t>Blvd.De Las  Naciones No. 33</t>
  </si>
  <si>
    <t>Fraccionamiento Granjas Del Marquez</t>
  </si>
  <si>
    <t>11382@dominos.com.mx</t>
  </si>
  <si>
    <t>Costera Miguel Aleman N°3208</t>
  </si>
  <si>
    <t>Col. Icacos, Del. Acapulco De Juarez</t>
  </si>
  <si>
    <t>11574@dominos.com.mx</t>
  </si>
  <si>
    <t>Carretera Cayaco-Puerto Marques No 233 Local Lc-01 Y Lc-02</t>
  </si>
  <si>
    <t>Llano Largo</t>
  </si>
  <si>
    <t>11630@dominos.com.mx</t>
  </si>
  <si>
    <t>Blvd. De Las Naciones 141 Int 9/A (Int Centro Comercial Multiplaza Las Palmas)</t>
  </si>
  <si>
    <t>Granjas Del Marquez</t>
  </si>
  <si>
    <t>11865@dominos.com.mx</t>
  </si>
  <si>
    <t>Av Gran Vía Tropical 2475</t>
  </si>
  <si>
    <t>Las Playas</t>
  </si>
  <si>
    <t>12350@dominos.com.mx</t>
  </si>
  <si>
    <t>Rosa Angelica Morales Samano</t>
  </si>
  <si>
    <t>Av. Gobernadores Norte No. 425</t>
  </si>
  <si>
    <t>Barrio De Coaxustenco</t>
  </si>
  <si>
    <t>Toluca</t>
  </si>
  <si>
    <t>11110@dominos.com.mx</t>
  </si>
  <si>
    <t>Lopez Portillo No. 601</t>
  </si>
  <si>
    <t>San Lorenzo Tepaltitlan</t>
  </si>
  <si>
    <t>11223@dominos.com.mx</t>
  </si>
  <si>
    <t>Av. Observatorio No. 457 Local 1</t>
  </si>
  <si>
    <t>Hidalgo</t>
  </si>
  <si>
    <t>11251@dominos.com.mx</t>
  </si>
  <si>
    <t>Av. Reolin Barejon N° 42 Y 43 Entre Reolin Barejon Y Autopista Mexico-Toluca Km. 49.5</t>
  </si>
  <si>
    <t>La Merced, Lerma De Villada</t>
  </si>
  <si>
    <t>11320@dominos.com.mx</t>
  </si>
  <si>
    <t>Blvd. Miguel Alemán 210 Local 1,2,3 Y 4</t>
  </si>
  <si>
    <t>San Pedro Totoltepec</t>
  </si>
  <si>
    <t>11419@dominos.com.mx</t>
  </si>
  <si>
    <t>Libramiento J Mujica S/N Esq Av. Revolución Sur</t>
  </si>
  <si>
    <t>Flor De Liz</t>
  </si>
  <si>
    <t>Zitácuaro</t>
  </si>
  <si>
    <t>Michoacán</t>
  </si>
  <si>
    <t>11420@dominos.com.mx</t>
  </si>
  <si>
    <t>Av. Técnologico 1300 Norte Local 18 Y 19 Plaza Portal Del Sol</t>
  </si>
  <si>
    <t>Francisco I Madero</t>
  </si>
  <si>
    <t>11463@dominos.com.mx</t>
  </si>
  <si>
    <t>Av. Jose Maria Castorena N°232 Local 01</t>
  </si>
  <si>
    <t>El Yaqui</t>
  </si>
  <si>
    <t>11601@dominos.com.mx</t>
  </si>
  <si>
    <t>1Ro De Mayo N°1700 Local 401 Centro Comercial Galerias Toluca</t>
  </si>
  <si>
    <t>Santa Ana Tlapaltitlan</t>
  </si>
  <si>
    <t>11955@dominos.com.mx</t>
  </si>
  <si>
    <t>Salvador Villagran Gonzalez</t>
  </si>
  <si>
    <t>Andromeda No. 1 Local A</t>
  </si>
  <si>
    <t>Prado Churubusco</t>
  </si>
  <si>
    <t>11023@dominos.com.mx</t>
  </si>
  <si>
    <t>Cerro De Los Hornos No.15 Lte 1 Y 2 Esq. Eje 10 A Una Calle Antes De Llegar A Cerro Del Agua</t>
  </si>
  <si>
    <t>Copilco Universidad</t>
  </si>
  <si>
    <t>11037@dominos.com.mx</t>
  </si>
  <si>
    <t>Dr. Vertiz No. 1136, Esquina Eje 6 Angel Urrasa</t>
  </si>
  <si>
    <t>11099@dominos.com.mx</t>
  </si>
  <si>
    <t>Enrique Rebsamen No. 966 P.B.</t>
  </si>
  <si>
    <t>Del Valle</t>
  </si>
  <si>
    <t>11150@dominos.com.mx</t>
  </si>
  <si>
    <t>Av. Universidad 799 Local 18 Esq. Municipio Libre</t>
  </si>
  <si>
    <t>Santa Cruz Atoyac</t>
  </si>
  <si>
    <t>11225@dominos.com.mx</t>
  </si>
  <si>
    <t>Monserrat 149</t>
  </si>
  <si>
    <t>Pueblo De La Candelaria</t>
  </si>
  <si>
    <t>11529@dominos.com.mx</t>
  </si>
  <si>
    <t>San Francisco No. 1621 Local 2689 L02</t>
  </si>
  <si>
    <t>11617@dominos.com.mx</t>
  </si>
  <si>
    <t>Av Universidad 86</t>
  </si>
  <si>
    <t>Narvarte Poniente</t>
  </si>
  <si>
    <t>Benito Juárez</t>
  </si>
  <si>
    <t>12343@dominos.com.mx</t>
  </si>
  <si>
    <t>Campestre Churubusco</t>
  </si>
  <si>
    <t>12362@dominos.com.mx</t>
  </si>
  <si>
    <t>009</t>
  </si>
  <si>
    <t>Norte</t>
  </si>
  <si>
    <t>Brenda Deyanira Mendez Bustamante</t>
  </si>
  <si>
    <t>Monterrey</t>
  </si>
  <si>
    <t>Nuevo León</t>
  </si>
  <si>
    <t>Mty Escobedo</t>
  </si>
  <si>
    <t>Av. Raúl Salinas Lozano #3300 (Plaza Girasoles)</t>
  </si>
  <si>
    <t>Girasoles</t>
  </si>
  <si>
    <t>Escobedo</t>
  </si>
  <si>
    <t>11229@dominos.com.mx</t>
  </si>
  <si>
    <t>Mty Economax</t>
  </si>
  <si>
    <t>Av. Felix Galván #800</t>
  </si>
  <si>
    <t>Hda. Los Morales</t>
  </si>
  <si>
    <t>11260@dominos.com.mx</t>
  </si>
  <si>
    <t>Santo Domingo</t>
  </si>
  <si>
    <t>Av. Sto. Domingo#1800 Loc. 6 (Locales De Soriana)</t>
  </si>
  <si>
    <t>Villas De Sto. Domingo</t>
  </si>
  <si>
    <t>11281@dominos.com.mx</t>
  </si>
  <si>
    <t>Apodaca</t>
  </si>
  <si>
    <t>Av. Afganistan No.140  Esq. Alto Volta Y Ceylan</t>
  </si>
  <si>
    <t>Prados De La Cieneguita</t>
  </si>
  <si>
    <t>11421@dominos.com.mx</t>
  </si>
  <si>
    <t>Apodaca Ii</t>
  </si>
  <si>
    <t>Zaragoza 20, Entre Mariano Matamoros Y Allende</t>
  </si>
  <si>
    <t>Centro De Apodaca</t>
  </si>
  <si>
    <t>11525@dominos.com.mx</t>
  </si>
  <si>
    <t>Sendero Apodaca</t>
  </si>
  <si>
    <t>Av. Concordia Esq. Antiguo Camino A Sta. Rosa S/N Local H, Bloque F (Plaza Sendero Apodaca)</t>
  </si>
  <si>
    <t>Ebanos Sector 7-8-9-10</t>
  </si>
  <si>
    <t>11904@dominos.com.mx</t>
  </si>
  <si>
    <t>Durango Centro</t>
  </si>
  <si>
    <t>David Antonio Valdez Labra</t>
  </si>
  <si>
    <t>Ave 20 De Noviembre 1302 Ote</t>
  </si>
  <si>
    <t>Guillermina</t>
  </si>
  <si>
    <t>Victoria De Durango</t>
  </si>
  <si>
    <t>Durango</t>
  </si>
  <si>
    <t>11151@dominos.com.mx</t>
  </si>
  <si>
    <t>Durango Madero</t>
  </si>
  <si>
    <t>Blvd. Domingo Arrieta 809-A</t>
  </si>
  <si>
    <t>Camino Real</t>
  </si>
  <si>
    <t>11201@dominos.com.mx</t>
  </si>
  <si>
    <t>Lomas Del Parque</t>
  </si>
  <si>
    <t>Blvd. Del Guadiana No. 110</t>
  </si>
  <si>
    <t>11567@dominos.com.mx</t>
  </si>
  <si>
    <t>Paseo Durango</t>
  </si>
  <si>
    <t>Blvd Felipe Pescador 1401</t>
  </si>
  <si>
    <t>Esperanza</t>
  </si>
  <si>
    <t>11888@dominos.com.mx</t>
  </si>
  <si>
    <t>Saltillo Venustiano Carranza</t>
  </si>
  <si>
    <t>Edgar Arturo Neri Saucedo</t>
  </si>
  <si>
    <t>Blvd. Venustiano Carranza # 3919</t>
  </si>
  <si>
    <t>Virreyes Residencial</t>
  </si>
  <si>
    <t>Saltillo</t>
  </si>
  <si>
    <t>Coahuila</t>
  </si>
  <si>
    <t>11074@dominos.com.mx</t>
  </si>
  <si>
    <t>Saltillo Lourdes</t>
  </si>
  <si>
    <t>Luis Echeverria # 999</t>
  </si>
  <si>
    <t xml:space="preserve">Lomas De Lourdes </t>
  </si>
  <si>
    <t>11231@dominos.com.mx</t>
  </si>
  <si>
    <t>Mty Palmas</t>
  </si>
  <si>
    <t>Av. Cuauhtemoc #105 Local D</t>
  </si>
  <si>
    <t xml:space="preserve"> Hda. Los Portales</t>
  </si>
  <si>
    <t>Santa Catarina</t>
  </si>
  <si>
    <t>11284@dominos.com.mx</t>
  </si>
  <si>
    <t>Saltillo Soriana Coss</t>
  </si>
  <si>
    <t>Blvd. Francisco Coss S/N</t>
  </si>
  <si>
    <t>11341@dominos.com.mx</t>
  </si>
  <si>
    <t>Santa Catarina Mty</t>
  </si>
  <si>
    <t>Av. Manuel Ordóñez Pte. No. 335 Local B</t>
  </si>
  <si>
    <t>Santa Catarina Ctro.</t>
  </si>
  <si>
    <t>11422@dominos.com.mx</t>
  </si>
  <si>
    <t>Saltillo Fundadores</t>
  </si>
  <si>
    <t>Periférico Luis Echeverría Álvarez No.1302 Esq. Boulevard Los Fundadores</t>
  </si>
  <si>
    <t>Avícola</t>
  </si>
  <si>
    <t>11423@dominos.com.mx</t>
  </si>
  <si>
    <t>Mirasierra Saltillo</t>
  </si>
  <si>
    <t>Blvd. Fundadores No. 7690 Int. Le11</t>
  </si>
  <si>
    <t>Mirasierra</t>
  </si>
  <si>
    <t>11606@dominos.com.mx</t>
  </si>
  <si>
    <t>Sendero Sur</t>
  </si>
  <si>
    <t>Boulevard Antonio Cardenas 4159, Parques De La Cañada</t>
  </si>
  <si>
    <t>Lourdes</t>
  </si>
  <si>
    <t>12309@dominos.com.mx</t>
  </si>
  <si>
    <t>Saltillo 2000</t>
  </si>
  <si>
    <t>Periferico Luis Echeverria #2395</t>
  </si>
  <si>
    <t>Satelite Norte</t>
  </si>
  <si>
    <t>12324@dominos.com.mx</t>
  </si>
  <si>
    <t>Mty Cumbres</t>
  </si>
  <si>
    <t>Fabiola Carrillo Cervantes</t>
  </si>
  <si>
    <t>Av. Paseo De Los Leones No. 1629</t>
  </si>
  <si>
    <t>Cumbres 3Er. Sector</t>
  </si>
  <si>
    <t>11047@dominos.com.mx</t>
  </si>
  <si>
    <t>Mty Aztlan</t>
  </si>
  <si>
    <t>Av. Solidaridad 5205 Esq Con Gardenias</t>
  </si>
  <si>
    <t>Valle Del Topochico</t>
  </si>
  <si>
    <t>11213@dominos.com.mx</t>
  </si>
  <si>
    <t>Mty Lincoln</t>
  </si>
  <si>
    <t>Av. Lincoln #5000 Pte.(Estacionamiento De Soriana)</t>
  </si>
  <si>
    <t>Av. Lincoln #5000 Pte. Col. Villa Sta. Cecilia</t>
  </si>
  <si>
    <t>11343@dominos.com.mx</t>
  </si>
  <si>
    <t>Solidaridad</t>
  </si>
  <si>
    <t>Av. Lincoln S/N Cruz Con Cumbres De San Agustin, Manzana 3</t>
  </si>
  <si>
    <t xml:space="preserve"> Fracc. Cumbres San Agustin</t>
  </si>
  <si>
    <t>11429@dominos.com.mx</t>
  </si>
  <si>
    <t>Solidaridad Ii</t>
  </si>
  <si>
    <t>Av. Luis Donaldo Colosio N°19000  Local 28 Centro Comercial Soriana Solidaridad</t>
  </si>
  <si>
    <t>11563@dominos.com.mx</t>
  </si>
  <si>
    <t>Paseo De Cumbres</t>
  </si>
  <si>
    <t>Av Paseo De Los Leones #51</t>
  </si>
  <si>
    <t>Cumbres Elite Octavo Sector</t>
  </si>
  <si>
    <t>11637@dominos.com.mx</t>
  </si>
  <si>
    <t>Mitras</t>
  </si>
  <si>
    <t>Av. Moises Saenz #655</t>
  </si>
  <si>
    <t>Mitras Centro</t>
  </si>
  <si>
    <t>11648@dominos.com.mx</t>
  </si>
  <si>
    <t>Centro Morelos</t>
  </si>
  <si>
    <t>Morelos #101 Loc.249 (Centro Comercial Interplaza)</t>
  </si>
  <si>
    <t>11834@dominos.com.mx</t>
  </si>
  <si>
    <t>Plaza Mexico</t>
  </si>
  <si>
    <t>Morelos #539 Ote.Loc. Pa-206A</t>
  </si>
  <si>
    <t>11852@dominos.com.mx</t>
  </si>
  <si>
    <t>Valle Lincoln</t>
  </si>
  <si>
    <t>Av. Real De Minas No. 100 Interior 100-06 Y 100-07</t>
  </si>
  <si>
    <t>Garcia</t>
  </si>
  <si>
    <t>12325@dominos.com.mx</t>
  </si>
  <si>
    <t>Mty Ocampo</t>
  </si>
  <si>
    <t>Hilda Haydee Alvarez Rodriguez</t>
  </si>
  <si>
    <t>Av. Ocampo 0Te. #410</t>
  </si>
  <si>
    <t>11170@dominos.com.mx</t>
  </si>
  <si>
    <t>Mty Soriana Santa Maria</t>
  </si>
  <si>
    <t>Av. Pablo Livas #7500 Loc. 141 (En Estacionamiento Soriana)</t>
  </si>
  <si>
    <t>Sta. María</t>
  </si>
  <si>
    <t>Guadalupe</t>
  </si>
  <si>
    <t>11283@dominos.com.mx</t>
  </si>
  <si>
    <t>Mty San Miguel</t>
  </si>
  <si>
    <t>Av. Acapulco # 721(Estacionamiento De Soriana)</t>
  </si>
  <si>
    <t>Hacienda San Miguel</t>
  </si>
  <si>
    <t>11309@dominos.com.mx</t>
  </si>
  <si>
    <t>Mty Soriana Las Quintas</t>
  </si>
  <si>
    <t>Av. López Mateos #501 Loc.39 (En Locales Soriana Las Quintas)</t>
  </si>
  <si>
    <t>Las Quintas</t>
  </si>
  <si>
    <t>11316@dominos.com.mx</t>
  </si>
  <si>
    <t>Valle Soleado</t>
  </si>
  <si>
    <t>Av. Prolongacion Ruiz Cortines Oriente No.405 Locales 61, 62, 63 Y 64</t>
  </si>
  <si>
    <t>11616@dominos.com.mx</t>
  </si>
  <si>
    <t>Plaza Bella Huinala</t>
  </si>
  <si>
    <t>Av. Gaspar Castaño No. 101 Locales Lb005 Y Lb006</t>
  </si>
  <si>
    <t>12335@dominos.com.mx</t>
  </si>
  <si>
    <t>Mty Valle Poniente</t>
  </si>
  <si>
    <t>Juan Pablo Armendariz Montemayor</t>
  </si>
  <si>
    <t>Av. San Pedro # 117 Local 1</t>
  </si>
  <si>
    <t>11007@dominos.com.mx</t>
  </si>
  <si>
    <t>Mty Valle Oriente</t>
  </si>
  <si>
    <t>Avenida Lazaro Cardenas N°2660-A</t>
  </si>
  <si>
    <t>Col. Del Valle Oriente, San Pedro Garza Garcia</t>
  </si>
  <si>
    <t>11131@dominos.com.mx</t>
  </si>
  <si>
    <t>Mty Heb Chapultepec</t>
  </si>
  <si>
    <t>Av. Revolucion N°2703 Int S-44 Dentro De Centro Comercial Nuevo Sur</t>
  </si>
  <si>
    <t>Ladrillera</t>
  </si>
  <si>
    <t>11271@dominos.com.mx</t>
  </si>
  <si>
    <t>Mty Tecnológico</t>
  </si>
  <si>
    <t>Sierra Del Fraile No. 130</t>
  </si>
  <si>
    <t>Arrollo Seco</t>
  </si>
  <si>
    <t>11313@dominos.com.mx</t>
  </si>
  <si>
    <t>San Jeronimo Monterrey</t>
  </si>
  <si>
    <t>Blvd. Rogelio Cantu 1000 Loc.1 (Plaza Las Villas San Jeronimo)</t>
  </si>
  <si>
    <t>Colinas De San Jeronimo Plaza Las Villas</t>
  </si>
  <si>
    <t>11458@dominos.com.mx</t>
  </si>
  <si>
    <t>Carretera Nacional</t>
  </si>
  <si>
    <t>Carretera Nacional Km 270.2 (Estacionamiento De Heb Estanzuela)</t>
  </si>
  <si>
    <t>Lomas De Valle Alto</t>
  </si>
  <si>
    <t>11526@dominos.com.mx</t>
  </si>
  <si>
    <t>Lazaro Cardenas Mty</t>
  </si>
  <si>
    <t>Av Lazaro Cardenas N°3380</t>
  </si>
  <si>
    <t xml:space="preserve">Col Mirador </t>
  </si>
  <si>
    <t>11572@dominos.com.mx</t>
  </si>
  <si>
    <t>Guadalajara Revolución</t>
  </si>
  <si>
    <t>002</t>
  </si>
  <si>
    <t>Occidente</t>
  </si>
  <si>
    <t>Jose Roberto Ibarra Dominguez</t>
  </si>
  <si>
    <t>Adriana Gonzalez Sanchez</t>
  </si>
  <si>
    <t>Av. Revolución 2212</t>
  </si>
  <si>
    <t>Sutaj</t>
  </si>
  <si>
    <t>Guadalajara</t>
  </si>
  <si>
    <t>Jalisco</t>
  </si>
  <si>
    <t>11238@dominos.com.mx</t>
  </si>
  <si>
    <t>Guadalajara Plaza Lomas</t>
  </si>
  <si>
    <t>Adriana Rodriguez Velazquez</t>
  </si>
  <si>
    <t>Río Nilo 7540 Locales 45 Y 46 (Plaza Lomas)</t>
  </si>
  <si>
    <t>Tonala</t>
  </si>
  <si>
    <t>Tonalá</t>
  </si>
  <si>
    <t>11253@dominos.com.mx</t>
  </si>
  <si>
    <t>Guadalajara Colón</t>
  </si>
  <si>
    <t>Mario Ernesto Garcia Gutierrez</t>
  </si>
  <si>
    <t>Calle Colón # 260</t>
  </si>
  <si>
    <t>11319@dominos.com.mx</t>
  </si>
  <si>
    <t>Av. Tonala 240 D</t>
  </si>
  <si>
    <t>Lomas De Tonala</t>
  </si>
  <si>
    <t>11389@dominos.com.mx</t>
  </si>
  <si>
    <t>Guadalajara Oblatos</t>
  </si>
  <si>
    <t>Av. Circunvalacion N° 2700 Local L-42 Centro Comercial Gran Terraza Oblatos</t>
  </si>
  <si>
    <t>Oblatos</t>
  </si>
  <si>
    <t>11394@dominos.com.mx</t>
  </si>
  <si>
    <t>Guadalajara Gobernador Curiel</t>
  </si>
  <si>
    <t>Gibran Josafat Morales Vazquez</t>
  </si>
  <si>
    <t>Av. Gobernador Curiel Nº 2794 Esquina Con Calle 5</t>
  </si>
  <si>
    <t>Fracc. Zona Industrial</t>
  </si>
  <si>
    <t>11402@dominos.com.mx</t>
  </si>
  <si>
    <t>Javier Mina</t>
  </si>
  <si>
    <t>Karina Guadalupe Sanchez Diaz</t>
  </si>
  <si>
    <t>Av Javier Mina 2748</t>
  </si>
  <si>
    <t>El Porvenir Sector Libertad</t>
  </si>
  <si>
    <t>11481@dominos.com.mx</t>
  </si>
  <si>
    <t>Independencia</t>
  </si>
  <si>
    <t>Erika Elizabeth Vazquez Suarez</t>
  </si>
  <si>
    <t>Centro Comercial Independencia Nº 3295 Local 1,2 Y 20</t>
  </si>
  <si>
    <t>Zona O</t>
  </si>
  <si>
    <t>11522@dominos.com.mx</t>
  </si>
  <si>
    <t>Espacio Tlaquepaque</t>
  </si>
  <si>
    <t>Ma De Los Angeles Garcia Benitez</t>
  </si>
  <si>
    <t>Carretera Chapala N°3221</t>
  </si>
  <si>
    <t>Col. El Tapatio, Del. Tlaquepaque</t>
  </si>
  <si>
    <t>11577@dominos.com.mx</t>
  </si>
  <si>
    <t>Guadalajara Centro</t>
  </si>
  <si>
    <t>Agustina Mariana Soto Zaragoza</t>
  </si>
  <si>
    <t>Morelos #202 ,211,213,217</t>
  </si>
  <si>
    <t>11959@dominos.com.mx</t>
  </si>
  <si>
    <t>Colima</t>
  </si>
  <si>
    <t>Rubi Olivo Polanco</t>
  </si>
  <si>
    <t>Antonio Nava Garcia</t>
  </si>
  <si>
    <t>Av. Felipe  Sevilla Del Río 52</t>
  </si>
  <si>
    <t>11218@dominos.com.mx</t>
  </si>
  <si>
    <t>Manzanillo Boulevard</t>
  </si>
  <si>
    <t>Cindy Yoshira Rivera Candido</t>
  </si>
  <si>
    <t xml:space="preserve">Blvd. Miguel De La Madrid # 8714 Local 2 Centro Comercial Brizza Manzanillo </t>
  </si>
  <si>
    <t>Salahua Centro Comercial Manzanillo</t>
  </si>
  <si>
    <t>Manzanillo</t>
  </si>
  <si>
    <t>11249@dominos.com.mx</t>
  </si>
  <si>
    <t>Guadalajara Ajijic</t>
  </si>
  <si>
    <t>Diana Lizeth Hernandez Escobar</t>
  </si>
  <si>
    <t>Carretera Ajijic-Chapala, 42-46 Plaza La Floresta</t>
  </si>
  <si>
    <t>Ajijic</t>
  </si>
  <si>
    <t>11297@dominos.com.mx</t>
  </si>
  <si>
    <t>El Palomar</t>
  </si>
  <si>
    <t>Km. 1.5 Carretera Guadalajara-Morelia (Plaza Palomar A Pie De Carrtera)</t>
  </si>
  <si>
    <t>El Palomar Tlajomulco De Zuñiga</t>
  </si>
  <si>
    <t>Tlajomulco</t>
  </si>
  <si>
    <t>11329@dominos.com.mx</t>
  </si>
  <si>
    <t>Ciudad Guzmán</t>
  </si>
  <si>
    <t>Av. Reforma Nº 55 - B</t>
  </si>
  <si>
    <t>Cd. Guzmán</t>
  </si>
  <si>
    <t>11396@dominos.com.mx</t>
  </si>
  <si>
    <t>Av. Concepcion # 21 Manzana 22 Zona 1, Local Pb 09 Y 10 (Plaza Centro City)</t>
  </si>
  <si>
    <t>San Jose Del Valle</t>
  </si>
  <si>
    <t>11537@dominos.com.mx</t>
  </si>
  <si>
    <t>Palomar Ii</t>
  </si>
  <si>
    <t>Alma Delia Espinoza Bucio</t>
  </si>
  <si>
    <t>Av. Prolongacion Lopez Mateos Sur No. 7023 Local 1 Centro Comercial La Plata</t>
  </si>
  <si>
    <t>San Agustin De La Flores</t>
  </si>
  <si>
    <t>11605@dominos.com.mx</t>
  </si>
  <si>
    <t>Villa De Alvarez</t>
  </si>
  <si>
    <t>Dora Alicia Valencia Delgado</t>
  </si>
  <si>
    <t>Av. Benito Juárez 377, Col. Las Palomas, Villa De Álvarez, Col. Cp 28974</t>
  </si>
  <si>
    <t>12331@dominos.com.mx</t>
  </si>
  <si>
    <t>Tlaquepaque Centro Sur</t>
  </si>
  <si>
    <t>Jose Luis Canales Diaz</t>
  </si>
  <si>
    <t>Av. Colón 4965 Local 5A-01, Centro Comercial Loma Sur, Col. Balcones De Santa María, Tlaquepaque, Jal. Cp 45606</t>
  </si>
  <si>
    <t>Balcones De Santa Maria</t>
  </si>
  <si>
    <t>Tlaquepaque</t>
  </si>
  <si>
    <t>12332@dominos.com.mx</t>
  </si>
  <si>
    <t>Bugambilias</t>
  </si>
  <si>
    <t>Blvd. Bugambilias 2299 Local C-38 Plaza Bugambilias, Col. Bugambilias, Zapopan, Jal. Cp 45238</t>
  </si>
  <si>
    <t>Colonia Bugambilias</t>
  </si>
  <si>
    <t>Zapopan</t>
  </si>
  <si>
    <t>12337@dominos.com.mx</t>
  </si>
  <si>
    <t>049</t>
  </si>
  <si>
    <t>Bajío</t>
  </si>
  <si>
    <t>Guanajuato</t>
  </si>
  <si>
    <t>San Miguel De Allende</t>
  </si>
  <si>
    <t>Jose Alberto Malagon Jimenez</t>
  </si>
  <si>
    <t>Ancha De San Antonio # 14 Entre Orizaba Y Calle Nueva</t>
  </si>
  <si>
    <t>Sn M. Allende</t>
  </si>
  <si>
    <t>11252@dominos.com.mx</t>
  </si>
  <si>
    <t>Elisa Garcia Campos</t>
  </si>
  <si>
    <t>Plaza Luciernaga</t>
  </si>
  <si>
    <t>Libramiento Jose Manuel Zavala  #165 Loc F2</t>
  </si>
  <si>
    <t xml:space="preserve">Na  </t>
  </si>
  <si>
    <t>11639@dominos.com.mx</t>
  </si>
  <si>
    <t>Morelia Campestre</t>
  </si>
  <si>
    <t>Oscar Ortiz Canales</t>
  </si>
  <si>
    <t>Gerardo Gilberto Jarquin</t>
  </si>
  <si>
    <t>Av. Enrique Ramirez Miguel #  300-B</t>
  </si>
  <si>
    <t>Chapultepec Oriente</t>
  </si>
  <si>
    <t>Morelia</t>
  </si>
  <si>
    <t>11031@dominos.com.mx</t>
  </si>
  <si>
    <t>Morelia Camelinas</t>
  </si>
  <si>
    <t>Christian Saul Gonzalez Olguin</t>
  </si>
  <si>
    <t xml:space="preserve">Av. Camelinas #293 </t>
  </si>
  <si>
    <t>Felix Ireta</t>
  </si>
  <si>
    <t>11054@dominos.com.mx</t>
  </si>
  <si>
    <t>Morelia Madero</t>
  </si>
  <si>
    <t>Av. Madero Poniente #1636-A</t>
  </si>
  <si>
    <t>Nueva Valladolid</t>
  </si>
  <si>
    <t>11091@dominos.com.mx</t>
  </si>
  <si>
    <t>Moroleón</t>
  </si>
  <si>
    <t>Ulises Eduardo Vega Mendoza</t>
  </si>
  <si>
    <t>Puebla # 407 Esq. Jalisco</t>
  </si>
  <si>
    <t>Progreso Moroleon</t>
  </si>
  <si>
    <t>11275@dominos.com.mx</t>
  </si>
  <si>
    <t>Zamora</t>
  </si>
  <si>
    <t>Alejandro Anguiano Castro</t>
  </si>
  <si>
    <t>Virrey De Mendoza # 230</t>
  </si>
  <si>
    <t>Jardinadas</t>
  </si>
  <si>
    <t>11293@dominos.com.mx</t>
  </si>
  <si>
    <t>Uruapan</t>
  </si>
  <si>
    <t>Alejandro Gomez Medina</t>
  </si>
  <si>
    <t>Paseo General Lazaro Cardenas N° 1632</t>
  </si>
  <si>
    <t>La Magdalena</t>
  </si>
  <si>
    <t>11294@dominos.com.mx</t>
  </si>
  <si>
    <t>Morelia Pipila</t>
  </si>
  <si>
    <t>Syntia Ivonne Rodriguez Rodriguez</t>
  </si>
  <si>
    <t>Av. Nocupetaro # 22</t>
  </si>
  <si>
    <t>Industrial Morelia</t>
  </si>
  <si>
    <t>11305@dominos.com.mx</t>
  </si>
  <si>
    <t>Morelia Libramiento</t>
  </si>
  <si>
    <t>Leonardo Lazaro Matias</t>
  </si>
  <si>
    <t>Periférico Paseo De La República # 3145</t>
  </si>
  <si>
    <t>Frac. Lomas De La Huerta</t>
  </si>
  <si>
    <t>11315@dominos.com.mx</t>
  </si>
  <si>
    <t>Morelia Sauces</t>
  </si>
  <si>
    <t>Ruben Alejandro Renteria Garcia</t>
  </si>
  <si>
    <t>Carretera Morelia-Zinapecuaro Km 2 Local 2</t>
  </si>
  <si>
    <t>Cuitzillo Chico, Mpio. De Tarimbaro</t>
  </si>
  <si>
    <t>Tarimbaro</t>
  </si>
  <si>
    <t>11532@dominos.com.mx</t>
  </si>
  <si>
    <t>Macroplaza Estadio</t>
  </si>
  <si>
    <t>Jose Alberto Baeza Alcantar</t>
  </si>
  <si>
    <t>Periferico Paseo De La Republica N° 3380 Locales La001 Y La002</t>
  </si>
  <si>
    <t>El Lago 1</t>
  </si>
  <si>
    <t>11602@dominos.com.mx</t>
  </si>
  <si>
    <t>Plaza Agora</t>
  </si>
  <si>
    <t>Jesus Eduardo Gonzalez Montoya</t>
  </si>
  <si>
    <t>Boulevard Industrial No 1241 Local F9</t>
  </si>
  <si>
    <t xml:space="preserve">Villa Uruapan </t>
  </si>
  <si>
    <t>11638@dominos.com.mx</t>
  </si>
  <si>
    <t>Aguascalientes Bosques</t>
  </si>
  <si>
    <t>Josue Peña Collazo</t>
  </si>
  <si>
    <t>German Hernandez Bautista</t>
  </si>
  <si>
    <t>Prolongacion Zaragoza # 103 Loc.B</t>
  </si>
  <si>
    <t>Villas De San Nicolas</t>
  </si>
  <si>
    <t>Aguascalientes</t>
  </si>
  <si>
    <t>11083@dominos.com.mx</t>
  </si>
  <si>
    <t>Aguascalientes Américas</t>
  </si>
  <si>
    <t>Monica Elizabeth Gutierrez Alfaro</t>
  </si>
  <si>
    <t>Av Convencion Poniente No 101 Esq. Con Versalles</t>
  </si>
  <si>
    <t>Fracc Del Valle 1Ra Seccion</t>
  </si>
  <si>
    <t>11136@dominos.com.mx</t>
  </si>
  <si>
    <t>Zacatecas</t>
  </si>
  <si>
    <t>Juan Jose Garcia Avalos</t>
  </si>
  <si>
    <t>Heroes De Chapultepec # 501</t>
  </si>
  <si>
    <t xml:space="preserve">Sierra De Alicia </t>
  </si>
  <si>
    <t>11145@dominos.com.mx</t>
  </si>
  <si>
    <t>Fresnillo</t>
  </si>
  <si>
    <t>David Eduardo Flores Reyes</t>
  </si>
  <si>
    <t>Av Plateros 429 Int 12 (Plaza Soriana)</t>
  </si>
  <si>
    <t>Barrio Alto</t>
  </si>
  <si>
    <t>11156@dominos.com.mx</t>
  </si>
  <si>
    <t>Aguascalientes Alameda</t>
  </si>
  <si>
    <t>Ashley Roxana Cortes Benitez</t>
  </si>
  <si>
    <t>Blvd. Siglo Xxi # 5202</t>
  </si>
  <si>
    <t>Fracc. Haciendas De Aguascalientes</t>
  </si>
  <si>
    <t>11244@dominos.com.mx</t>
  </si>
  <si>
    <t>Aguascalientes Inegi</t>
  </si>
  <si>
    <t>Jose Maria Chávez # 202 Esq. Av. Aguascalientes</t>
  </si>
  <si>
    <t>Jardines De Las Fuentes</t>
  </si>
  <si>
    <t>11353@dominos.com.mx</t>
  </si>
  <si>
    <t>Soriana Zacatecas</t>
  </si>
  <si>
    <t>Claudia Vanessa Cortes Elias</t>
  </si>
  <si>
    <t>Blvd. Lopez Portillo  Y Garcia Salinas  # 1 , Loc.7 Y 8  13 (Dentro De Soriana)</t>
  </si>
  <si>
    <t>Fovissste  Zacatecas</t>
  </si>
  <si>
    <t>11354@dominos.com.mx</t>
  </si>
  <si>
    <t>Altaria Aguascalientes</t>
  </si>
  <si>
    <t>Eliu Abdiel Castañeda Almaraz</t>
  </si>
  <si>
    <t>Blvd. Zacatecas No 849 Loca F-2 Planta Alta</t>
  </si>
  <si>
    <t>Trojes De Alonso</t>
  </si>
  <si>
    <t>11897@dominos.com.mx</t>
  </si>
  <si>
    <t>Galerias Zacatecas</t>
  </si>
  <si>
    <t>Daniela Jazmin Tarango Ramirez</t>
  </si>
  <si>
    <t>Blvd. Del Bote #202, Local 614. Planta Alta.</t>
  </si>
  <si>
    <t>Ciudad Argentum</t>
  </si>
  <si>
    <t>11930@dominos.com.mx</t>
  </si>
  <si>
    <t>Vallarta Caracol</t>
  </si>
  <si>
    <t>Rosaura Peña Peña</t>
  </si>
  <si>
    <t>Iris Nava Hernandez</t>
  </si>
  <si>
    <t>Francisco Medina Ascencio 2180- Local 1</t>
  </si>
  <si>
    <t>Versalles</t>
  </si>
  <si>
    <t>Pto. Vallarta</t>
  </si>
  <si>
    <t>11014@dominos.com.mx</t>
  </si>
  <si>
    <t>Vallarta Centro</t>
  </si>
  <si>
    <t>Odette Monseratt Cuevas Monroy</t>
  </si>
  <si>
    <t>Calle Zaragoza # 120</t>
  </si>
  <si>
    <t>11090@dominos.com.mx</t>
  </si>
  <si>
    <t>Vallarta Pitillal</t>
  </si>
  <si>
    <t>Joel Alcantar Dominguez</t>
  </si>
  <si>
    <t>Ecuador 401 Entre Alameda Y Miramar</t>
  </si>
  <si>
    <t>Coapinole</t>
  </si>
  <si>
    <t>11312@dominos.com.mx</t>
  </si>
  <si>
    <t>Nuevo Vallarta</t>
  </si>
  <si>
    <t>Paseo De Los Cocoteros 85 Sur Local D-1 (Paradise Plaza)</t>
  </si>
  <si>
    <t>Fraccionamiento Nautico Turistico</t>
  </si>
  <si>
    <t>Nvo. Vallarta</t>
  </si>
  <si>
    <t>Nayarit</t>
  </si>
  <si>
    <t>11321@dominos.com.mx</t>
  </si>
  <si>
    <t>Las Juntas</t>
  </si>
  <si>
    <t>Judith Ramirez Contreras</t>
  </si>
  <si>
    <t xml:space="preserve">Carrt. Vallarta-Tepic No. 5450-A </t>
  </si>
  <si>
    <t>Las Juntas Centro</t>
  </si>
  <si>
    <t>11469@dominos.com.mx</t>
  </si>
  <si>
    <t>Francisco Villa</t>
  </si>
  <si>
    <t>Edelmira Lopez Ruiz</t>
  </si>
  <si>
    <t>Av. Fco. Villa # 1530 Local 1</t>
  </si>
  <si>
    <t>Los Sauces</t>
  </si>
  <si>
    <t>11491@dominos.com.mx</t>
  </si>
  <si>
    <t>Galerías Vallarta</t>
  </si>
  <si>
    <t>Herlinda Saray Peña Peña</t>
  </si>
  <si>
    <t>Blvd. Francisco Medina Ascencio # 2920 Loc, 303 (Centro Comercial Galerias Vallarta Zona Hotelera Norte)</t>
  </si>
  <si>
    <t>Educacion</t>
  </si>
  <si>
    <t>11900@dominos.com.mx</t>
  </si>
  <si>
    <t>Las Palmas Vallarta</t>
  </si>
  <si>
    <t>Maria Teresa Ramirez Lopez</t>
  </si>
  <si>
    <t>Carretera Mezcales- San Vicente #340 Loc 172 Centro Comercial Las Palmas San Vicente</t>
  </si>
  <si>
    <t>12355@dominos.com.mx</t>
  </si>
  <si>
    <t>Querétaro Constituyentes</t>
  </si>
  <si>
    <t>Noe David Sanchez Romero</t>
  </si>
  <si>
    <t>Jorge Guillermo Mendoza Salazar</t>
  </si>
  <si>
    <t>Constituyentes No. 157A</t>
  </si>
  <si>
    <t>Casa Blanca</t>
  </si>
  <si>
    <t>Querétaro</t>
  </si>
  <si>
    <t>11046@dominos.com.mx</t>
  </si>
  <si>
    <t>San Juan Del Río</t>
  </si>
  <si>
    <t>Rio Moctezuma 1 Esq. C/ Av. Central</t>
  </si>
  <si>
    <t>San Cayetano</t>
  </si>
  <si>
    <t>San Juan Río</t>
  </si>
  <si>
    <t>11180@dominos.com.mx</t>
  </si>
  <si>
    <t>Amsterdam</t>
  </si>
  <si>
    <t>Aldo Minero Tovar</t>
  </si>
  <si>
    <t>Paseo Amsterdam No. 190 Local A Y B</t>
  </si>
  <si>
    <t>Residencial Amsterdam</t>
  </si>
  <si>
    <t>11460@dominos.com.mx</t>
  </si>
  <si>
    <t>Plaza Fuentes</t>
  </si>
  <si>
    <t>Maria Guadalupe Cruz Chavez</t>
  </si>
  <si>
    <t>Boulevard Centro Sur No.1051 Plaza Las Fuentes Local 4-B</t>
  </si>
  <si>
    <t xml:space="preserve">Delegion Municipal Josefa Vergara, Ciudad De Santiago </t>
  </si>
  <si>
    <t>11545@dominos.com.mx</t>
  </si>
  <si>
    <t>Bernardo Quintana</t>
  </si>
  <si>
    <t>Arturo Macias Mayeya</t>
  </si>
  <si>
    <t>Boulevard Bernardo Quinta  N 2473 Local 1 Dentro De Centro Comercial Plaza Pileta</t>
  </si>
  <si>
    <t>Santa Maria Magdalena</t>
  </si>
  <si>
    <t>11590@dominos.com.mx</t>
  </si>
  <si>
    <t>Ciudad Del Sol</t>
  </si>
  <si>
    <t>Boulevard Bernardo Quintana No. 4201  Local 9 Centro Comercial Plaza Aria</t>
  </si>
  <si>
    <t>11635@dominos.com.mx</t>
  </si>
  <si>
    <t>Ubika Universidad</t>
  </si>
  <si>
    <t>Av. Universidad Poniente #370 Locales 103 Y 104, Col. La Piedad, Cp 76150, Querétaro, Qro.</t>
  </si>
  <si>
    <t>La Piedad</t>
  </si>
  <si>
    <t>12330@dominos.com.mx</t>
  </si>
  <si>
    <t>Querétaro Arcos</t>
  </si>
  <si>
    <t>Miguel Torres Becerra</t>
  </si>
  <si>
    <t>Boulevard Bernardo Quinta N°41</t>
  </si>
  <si>
    <t>Pathe</t>
  </si>
  <si>
    <t>11179@dominos.com.mx</t>
  </si>
  <si>
    <t>Jurica</t>
  </si>
  <si>
    <t>Joel Rivera Cruz</t>
  </si>
  <si>
    <t>Av 5 De Febrero No. 2123  (Plaza  Norte  Jurica)</t>
  </si>
  <si>
    <t>Parque Ind Benito Juarez</t>
  </si>
  <si>
    <t>11302@dominos.com.mx</t>
  </si>
  <si>
    <t>Queretaro Pie De La Cuesta</t>
  </si>
  <si>
    <t>Av Pie De La Cuesta No. 5090 Local 24, 25 Y 26 (Plaza Las Palmas)</t>
  </si>
  <si>
    <t>San Pedro Ecologico</t>
  </si>
  <si>
    <t>11439@dominos.com.mx</t>
  </si>
  <si>
    <t>Juriquilla</t>
  </si>
  <si>
    <t>Fernando Alejandro Gutierrez Garcia</t>
  </si>
  <si>
    <t>Blvd Universitario No. 514 Loc 2</t>
  </si>
  <si>
    <t>Provincia Juriquilla</t>
  </si>
  <si>
    <t>11486@dominos.com.mx</t>
  </si>
  <si>
    <t>Fray Junípero</t>
  </si>
  <si>
    <t>Juan Pablo Aguillon Favela</t>
  </si>
  <si>
    <t>Calle Anillo Vial Ii Fray Junipero N°9390 Int L1</t>
  </si>
  <si>
    <t>Residencial El Refugio</t>
  </si>
  <si>
    <t>11615@dominos.com.mx</t>
  </si>
  <si>
    <t>Antea</t>
  </si>
  <si>
    <t>Carretera Querétaro No. 12401 Interior F-109 Centro Comercial Antea Style Center</t>
  </si>
  <si>
    <t>El Salitre</t>
  </si>
  <si>
    <t>11942@dominos.com.mx</t>
  </si>
  <si>
    <t>Ubika Milenio</t>
  </si>
  <si>
    <t>Manuel Getzael Lazcano Martinez</t>
  </si>
  <si>
    <t>Milenio</t>
  </si>
  <si>
    <t>12348@dominos.com.mx</t>
  </si>
  <si>
    <t>Guadalajara Chapalita</t>
  </si>
  <si>
    <t>Brenda Yadira Rodriguez Cobian</t>
  </si>
  <si>
    <t>Silvia Hernandez De La Cerda</t>
  </si>
  <si>
    <t>Av. Guadalupe 1626</t>
  </si>
  <si>
    <t>Chapalita Zapopan</t>
  </si>
  <si>
    <t>11008@dominos.com.mx</t>
  </si>
  <si>
    <t>Guadalajara Providencia</t>
  </si>
  <si>
    <t>Av. Pablo Neruda 3006</t>
  </si>
  <si>
    <t>Providencia</t>
  </si>
  <si>
    <t>11020@dominos.com.mx</t>
  </si>
  <si>
    <t>Guadalajara Residencial Victoria</t>
  </si>
  <si>
    <t>Pedro Haro Garcia</t>
  </si>
  <si>
    <t>Av. Lapizlazuli  #2653</t>
  </si>
  <si>
    <t>Residencial Victoria</t>
  </si>
  <si>
    <t>11035@dominos.com.mx</t>
  </si>
  <si>
    <t>Tepic Insurgentes</t>
  </si>
  <si>
    <t>Ma Guadalupe Macias Reyes</t>
  </si>
  <si>
    <t>Av. P. Guerrero # 15</t>
  </si>
  <si>
    <t>Fraccionamiento Del Angel</t>
  </si>
  <si>
    <t>Tepic</t>
  </si>
  <si>
    <t>11195@dominos.com.mx</t>
  </si>
  <si>
    <t>Walmart</t>
  </si>
  <si>
    <t>Av. Vallarta , No. 5455 Int 36</t>
  </si>
  <si>
    <t>La Estancia</t>
  </si>
  <si>
    <t>11237@dominos.com.mx</t>
  </si>
  <si>
    <t>Guadalajara Paseos Del Sol</t>
  </si>
  <si>
    <t>Diego Zenen Tellez Montoya</t>
  </si>
  <si>
    <t>Av. Carnero # 5435 Local B</t>
  </si>
  <si>
    <t>11295@dominos.com.mx</t>
  </si>
  <si>
    <t>Tepic Shoping Center</t>
  </si>
  <si>
    <t>Yereli Elizabeth Camacho Talavera</t>
  </si>
  <si>
    <t>Manzana 3  Zona 1 N° 1, Local 7 Y 8, Centro Comercial Manglar Shopping Center</t>
  </si>
  <si>
    <t>Jose Maria Menchaca</t>
  </si>
  <si>
    <t>11558@dominos.com.mx</t>
  </si>
  <si>
    <t>Av. Guadalupe</t>
  </si>
  <si>
    <t>Av. Guadalupe No. 6266 Locales 02 Y 03</t>
  </si>
  <si>
    <t>Parques Guadalupe</t>
  </si>
  <si>
    <t>11612@dominos.com.mx</t>
  </si>
  <si>
    <t>La Gran Plaza</t>
  </si>
  <si>
    <t>Av.Vallarta N.3959 Centro Comercial La Gran Plaza Local 16</t>
  </si>
  <si>
    <t>Don Bosco Vallarta</t>
  </si>
  <si>
    <t>11810@dominos.com.mx</t>
  </si>
  <si>
    <t>Galerias Guadalajara</t>
  </si>
  <si>
    <t>Dalia Iñiguez Escutia</t>
  </si>
  <si>
    <t>Calle Rafael Sanzio 150 Int Ff18 (Plaza Galerias)</t>
  </si>
  <si>
    <t xml:space="preserve">Zapopan </t>
  </si>
  <si>
    <t>11854@dominos.com.mx</t>
  </si>
  <si>
    <t>Guadalajara Alcalde</t>
  </si>
  <si>
    <t>Yuliana Guzman Paramo</t>
  </si>
  <si>
    <t>Av. Alcalde 915</t>
  </si>
  <si>
    <t>Alcalde Barranquitas</t>
  </si>
  <si>
    <t>11116@dominos.com.mx</t>
  </si>
  <si>
    <t>Jardín Real</t>
  </si>
  <si>
    <t>Flor Lizette Renteria Vazquez</t>
  </si>
  <si>
    <t>Av. Santa Margarita # 4522 Local 1</t>
  </si>
  <si>
    <t>Jardin Real Zapopan</t>
  </si>
  <si>
    <t>11245@dominos.com.mx</t>
  </si>
  <si>
    <t>Guadalajara Chapultepec</t>
  </si>
  <si>
    <t>Samara Moreno Huerta</t>
  </si>
  <si>
    <t>López Cotilla 1449</t>
  </si>
  <si>
    <t>Americana</t>
  </si>
  <si>
    <t>11292@dominos.com.mx</t>
  </si>
  <si>
    <t>Guadalajara Circunvalación</t>
  </si>
  <si>
    <t>Jacqueline Fernanda Tamayo Vega</t>
  </si>
  <si>
    <t>Av. Circunvalación # 87</t>
  </si>
  <si>
    <t>11296@dominos.com.mx</t>
  </si>
  <si>
    <t>Guadalajara Ávila Camacho</t>
  </si>
  <si>
    <t>Alejandro Herrera Gutierrez</t>
  </si>
  <si>
    <t>Av. Avila Camacho N.1091</t>
  </si>
  <si>
    <t>Residencial Patria Zapopan</t>
  </si>
  <si>
    <t>11318@dominos.com.mx</t>
  </si>
  <si>
    <t>Guadalajara San Isidro</t>
  </si>
  <si>
    <t>Eduardo Rangel Saldaña</t>
  </si>
  <si>
    <t xml:space="preserve">Periferico Norte Nº 10 Local B-3 </t>
  </si>
  <si>
    <t>Los Belenes Norte Zapopan</t>
  </si>
  <si>
    <t>11359@dominos.com.mx</t>
  </si>
  <si>
    <t>Acueducto Puerta De Hierro</t>
  </si>
  <si>
    <t>Cesar Arturo Esquivel Armendariz</t>
  </si>
  <si>
    <t>Av. Acueducto 6050 Local 11 (Plaza Acueducto)</t>
  </si>
  <si>
    <t>Las Lomas Zapopan</t>
  </si>
  <si>
    <t>11524@dominos.com.mx</t>
  </si>
  <si>
    <t>Zapopan Real Center</t>
  </si>
  <si>
    <t>Brayan Jesus Perez Cornejo</t>
  </si>
  <si>
    <t>Av. Santa Margarita Fracción A Int. R 05</t>
  </si>
  <si>
    <t>Residencial Poniente</t>
  </si>
  <si>
    <t>11568@dominos.com.mx</t>
  </si>
  <si>
    <t>Tesistan</t>
  </si>
  <si>
    <t>Juan Gil Preciado N°1806 Local 3 Centro Comercial Ubika Los Robles</t>
  </si>
  <si>
    <t>Los Robles</t>
  </si>
  <si>
    <t>11570@dominos.com.mx</t>
  </si>
  <si>
    <t>Poza Rica</t>
  </si>
  <si>
    <t>048</t>
  </si>
  <si>
    <t>Mireya Fernandez Garcia</t>
  </si>
  <si>
    <t>Ana Gomez Gonzalez</t>
  </si>
  <si>
    <t>Av. 20 Nov Esq Calle 14</t>
  </si>
  <si>
    <t>Cazones</t>
  </si>
  <si>
    <t>Veracruz</t>
  </si>
  <si>
    <t>11256@dominos.com.mx</t>
  </si>
  <si>
    <t>Tuxpan</t>
  </si>
  <si>
    <t>Victor Manuel Vazquez Caro</t>
  </si>
  <si>
    <t>Blvd. Jesus Reyes Heroles Num 49 B, Esq Con Heroica De Veracruz</t>
  </si>
  <si>
    <t>11287@dominos.com.mx</t>
  </si>
  <si>
    <t>Martínez De La Torre</t>
  </si>
  <si>
    <t>Cristina Salazar Gonzalez</t>
  </si>
  <si>
    <t>Av. Avila Camacho 701- G</t>
  </si>
  <si>
    <t>Centro Mtz. De La Torre</t>
  </si>
  <si>
    <t>Mtz De La Torre</t>
  </si>
  <si>
    <t>11371@dominos.com.mx</t>
  </si>
  <si>
    <t>Poza Rica Ii</t>
  </si>
  <si>
    <t>Gabriela Lopez Pozos</t>
  </si>
  <si>
    <t>Priv. 16 Norte, Num 100 Altos 1</t>
  </si>
  <si>
    <t>11412@dominos.com.mx</t>
  </si>
  <si>
    <t>Teziutlan</t>
  </si>
  <si>
    <t>Prolongacion De Mina N°750</t>
  </si>
  <si>
    <t>Teziutlan Centro</t>
  </si>
  <si>
    <t>Puebla</t>
  </si>
  <si>
    <t>11573@dominos.com.mx</t>
  </si>
  <si>
    <t>Puebla Mirador</t>
  </si>
  <si>
    <t>Bertha Mendez Nazario</t>
  </si>
  <si>
    <t>Emilio Sosa Munguia</t>
  </si>
  <si>
    <t>Blvd.5 De Mayo 3730 (Plaza Dorada)</t>
  </si>
  <si>
    <t>11030@dominos.com.mx</t>
  </si>
  <si>
    <t>Puebla Animas</t>
  </si>
  <si>
    <t>Erik Chilaca Flores</t>
  </si>
  <si>
    <t>Amanecer</t>
  </si>
  <si>
    <t>11059@dominos.com.mx</t>
  </si>
  <si>
    <t>Puebla Mayorazgo</t>
  </si>
  <si>
    <t>Barbara Cuautle Lopez</t>
  </si>
  <si>
    <t>11323@dominos.com.mx</t>
  </si>
  <si>
    <t>Puebla Margaritas</t>
  </si>
  <si>
    <t>Karen Ivette Perez Avila</t>
  </si>
  <si>
    <t>La Margarita</t>
  </si>
  <si>
    <t>11333@dominos.com.mx</t>
  </si>
  <si>
    <t>Puebla 11/11 Paseo Bravo</t>
  </si>
  <si>
    <t>Avenida Juarez N° 2310</t>
  </si>
  <si>
    <t>11370@dominos.com.mx</t>
  </si>
  <si>
    <t>Valsequillo</t>
  </si>
  <si>
    <t>Jesus Israel Severiano Hernandez</t>
  </si>
  <si>
    <t>Blvd. Valsequillo 1825 "B", Esq Blvd Las Torres</t>
  </si>
  <si>
    <t>Universidades</t>
  </si>
  <si>
    <t>11376@dominos.com.mx</t>
  </si>
  <si>
    <t>Atlixco</t>
  </si>
  <si>
    <t>Sergio Ramrez Flores</t>
  </si>
  <si>
    <t>11381@dominos.com.mx</t>
  </si>
  <si>
    <t>Puebla Angelópolis</t>
  </si>
  <si>
    <t>Armando Fabian Coliente</t>
  </si>
  <si>
    <t>Blvd. Atlixcayotl 1501  Loc 10 / Dentro Del Centro Comercial Masarik Plaza</t>
  </si>
  <si>
    <t>11434@dominos.com.mx</t>
  </si>
  <si>
    <t>Adagio</t>
  </si>
  <si>
    <t>Soledad Jovita Hernandez Ramirez</t>
  </si>
  <si>
    <t>Gran Boulevard Lomas N° 301 , Se Encuentra Dentro Del
Centro Comercial Adagio Town Plaza Sonata Lomas
De Angelopolis</t>
  </si>
  <si>
    <t>Lomas De Angelopolis</t>
  </si>
  <si>
    <t>11575@dominos.com.mx</t>
  </si>
  <si>
    <t>Plaza Centro Sur</t>
  </si>
  <si>
    <t>Av. 11 Sur 11904 / 119 Y 121 Pte.San Francisco Mayorazgo Int F-5 (Dentro De Una Plaza )</t>
  </si>
  <si>
    <t>San Francisco Mayorazgo</t>
  </si>
  <si>
    <t>11864@dominos.com.mx</t>
  </si>
  <si>
    <t>Isabel Cristina Mercenario Cordero</t>
  </si>
  <si>
    <t>16 De Septiembre</t>
  </si>
  <si>
    <t>12329@dominos.com.mx</t>
  </si>
  <si>
    <t>Jalapa Lázaro Cárdenas</t>
  </si>
  <si>
    <t>Luis Octavio Arroyo Martinez</t>
  </si>
  <si>
    <t>Ernestino Bernabe Osorio</t>
  </si>
  <si>
    <t>V. Lazaro Cardenas 12 (Casi Esq. 20 De Nov.)</t>
  </si>
  <si>
    <t>Badillo</t>
  </si>
  <si>
    <t>Jalapa</t>
  </si>
  <si>
    <t>11119@dominos.com.mx</t>
  </si>
  <si>
    <t>Jalapa Ávila Camacho</t>
  </si>
  <si>
    <t>Tzikuri Adalberto Sanchez Gongora</t>
  </si>
  <si>
    <t>Av.Manuel Avila Camacho 185-A, Esq. Francisco Moreno</t>
  </si>
  <si>
    <t>Unidad Veracruzana</t>
  </si>
  <si>
    <t>11216@dominos.com.mx</t>
  </si>
  <si>
    <t>Veracruz. Norte</t>
  </si>
  <si>
    <t>Amada Del Rosario Jimenez Ramon</t>
  </si>
  <si>
    <t>Av.Cuauhtemoc  380</t>
  </si>
  <si>
    <t>Fracc. Los Pinitos Veracruz</t>
  </si>
  <si>
    <t>11261@dominos.com.mx</t>
  </si>
  <si>
    <t>Veracruz Rio Medio</t>
  </si>
  <si>
    <t>Juana Elizabeth Murillo Lucero</t>
  </si>
  <si>
    <t xml:space="preserve"> Calle Joaquin Perea #574</t>
  </si>
  <si>
    <t>Astilleros De Veracruz</t>
  </si>
  <si>
    <t>11427@dominos.com.mx</t>
  </si>
  <si>
    <t>Parque Industrial Veracruz</t>
  </si>
  <si>
    <t>Feliciano Hernandez Pavan</t>
  </si>
  <si>
    <t>El Tejar</t>
  </si>
  <si>
    <t>11466@dominos.com.mx</t>
  </si>
  <si>
    <t>Xalapa 5</t>
  </si>
  <si>
    <t>Adan Hoyos Carcamo</t>
  </si>
  <si>
    <t>Av. Lazaro Cardenas 794 Loc. 2 Int. 2 Esq. Leopoldo Quiel</t>
  </si>
  <si>
    <t>Rafael Lucio</t>
  </si>
  <si>
    <t>11498@dominos.com.mx</t>
  </si>
  <si>
    <t>Nuevo Veracruz</t>
  </si>
  <si>
    <t>David Ponce Hernandez</t>
  </si>
  <si>
    <t>Av Circuito Nuevo Veracruz Macrolote 14  A12 Manzana 006 #835</t>
  </si>
  <si>
    <t>Buenavista</t>
  </si>
  <si>
    <t>11562@dominos.com.mx</t>
  </si>
  <si>
    <t>Plaza Ciudad Central</t>
  </si>
  <si>
    <t>Isaac Palestino Romano</t>
  </si>
  <si>
    <t>Blvd. Europa 220</t>
  </si>
  <si>
    <t>Central De Abastos</t>
  </si>
  <si>
    <t>Xalapa</t>
  </si>
  <si>
    <t>11646@dominos.com.mx</t>
  </si>
  <si>
    <t>Las Animas Xalapa Iii</t>
  </si>
  <si>
    <t>Av. Lazaro Cardenas Km 1.6 (Plaza Animas)</t>
  </si>
  <si>
    <t>Animas</t>
  </si>
  <si>
    <t>11798@dominos.com.mx</t>
  </si>
  <si>
    <t>Americas Xalapa</t>
  </si>
  <si>
    <t>Marisol Sanchez Colorado</t>
  </si>
  <si>
    <t>Carr. Xalapa-Veracruz. No. 680 L-8 Zona G, Plaza Americas</t>
  </si>
  <si>
    <t>Pastoressa</t>
  </si>
  <si>
    <t>11875@dominos.com.mx</t>
  </si>
  <si>
    <t>Neza</t>
  </si>
  <si>
    <t>Orlando Perez De Los Santos</t>
  </si>
  <si>
    <t>Jose Leon Ordaz</t>
  </si>
  <si>
    <t>Av. Adolfo Lopez Mateos No. 164</t>
  </si>
  <si>
    <t>Metropolitana 1 Secc</t>
  </si>
  <si>
    <t>11160@dominos.com.mx</t>
  </si>
  <si>
    <t>El Salado</t>
  </si>
  <si>
    <t>Rosa Veronica Borja Garcia</t>
  </si>
  <si>
    <t>Calz Ignacio Zaragoza 3254 Local 6,7,14,15</t>
  </si>
  <si>
    <t>11177@dominos.com.mx</t>
  </si>
  <si>
    <t>Chalco</t>
  </si>
  <si>
    <t>Los Reyes La Paz</t>
  </si>
  <si>
    <t>Calle Aldama No. 37  Y Carretera Mexico - Puebla No. 5</t>
  </si>
  <si>
    <t>Los Reyes Acaquilpan</t>
  </si>
  <si>
    <t>11285@dominos.com.mx</t>
  </si>
  <si>
    <t>Ixtapaluca</t>
  </si>
  <si>
    <t>Luz Karen Benitez Escobar</t>
  </si>
  <si>
    <t>Blvd. Cuauhtemoc No. 2000 Esq. Paseo De Los Encinos</t>
  </si>
  <si>
    <t>Santa Barbara</t>
  </si>
  <si>
    <t>11324@dominos.com.mx</t>
  </si>
  <si>
    <t>Pantitlan</t>
  </si>
  <si>
    <t>Marcos Morales Flores</t>
  </si>
  <si>
    <t>Av. Pantitlan 14</t>
  </si>
  <si>
    <t>Porvenir</t>
  </si>
  <si>
    <t>11337@dominos.com.mx</t>
  </si>
  <si>
    <t>Jose Maria Gomez Mata</t>
  </si>
  <si>
    <t>Av Chimalhuacan 450 Lot 50 Mz 277</t>
  </si>
  <si>
    <t>11430@dominos.com.mx</t>
  </si>
  <si>
    <t>Ixtapaluca San Buena Aventura</t>
  </si>
  <si>
    <t>Susana Garrido Aparicio</t>
  </si>
  <si>
    <t>Carr Fed Mexico- Cuautla Km 37 Local Sc-18 Plaza El Cortijo</t>
  </si>
  <si>
    <t>11459@dominos.com.mx</t>
  </si>
  <si>
    <t>Vía San Juan</t>
  </si>
  <si>
    <t>Maria Luisa Zarco  Henriquez</t>
  </si>
  <si>
    <t>Calzada Ignacio Zaragoza N°2717 L17</t>
  </si>
  <si>
    <t>Tepalcates</t>
  </si>
  <si>
    <t>11599@dominos.com.mx</t>
  </si>
  <si>
    <t>Patio Ayotla</t>
  </si>
  <si>
    <t>Jonathan Mendoza Gonzalez</t>
  </si>
  <si>
    <t>Blvd. Cuauhtemoc No.2943 S-43-44</t>
  </si>
  <si>
    <t>Ayotla</t>
  </si>
  <si>
    <t>11620@dominos.com.mx</t>
  </si>
  <si>
    <t>Job Samuel Zaragoza Martinez</t>
  </si>
  <si>
    <t>Barca De Oro #382</t>
  </si>
  <si>
    <t>Aurora 1</t>
  </si>
  <si>
    <t>12301@dominos.com.mx</t>
  </si>
  <si>
    <t>Puebla Libanés</t>
  </si>
  <si>
    <t>Lizette Linares Rodriguez</t>
  </si>
  <si>
    <t>Jose Miguel Sosa Velazquez</t>
  </si>
  <si>
    <t>Hermanos Serdan 630 , Local Sa-3, Dentro De La Mega Comercial Hermanos Serdan</t>
  </si>
  <si>
    <t>Pino Suarez</t>
  </si>
  <si>
    <t>11109@dominos.com.mx</t>
  </si>
  <si>
    <t>Tlaxcala</t>
  </si>
  <si>
    <t>Juan Luis Gonzalez Muñoz</t>
  </si>
  <si>
    <t>Blvd. Guillermo Valle 113</t>
  </si>
  <si>
    <t>11205@dominos.com.mx</t>
  </si>
  <si>
    <t>Cholula</t>
  </si>
  <si>
    <t>Gustavo Adolfo Bustamante Nieves</t>
  </si>
  <si>
    <t>Ruta Quetazalcoatl 3505 (Casi Esquina Periferico)</t>
  </si>
  <si>
    <t>Linda Vista De Jesus</t>
  </si>
  <si>
    <t>11226@dominos.com.mx</t>
  </si>
  <si>
    <t>Apizaco</t>
  </si>
  <si>
    <t>Marisa Quintero Badillo</t>
  </si>
  <si>
    <t>Av. 16 De Septiembre 1301 Carr. A Tlaxco</t>
  </si>
  <si>
    <t>11232@dominos.com.mx</t>
  </si>
  <si>
    <t>San Martín Texmelucan</t>
  </si>
  <si>
    <t>Bruno Soria Cordero</t>
  </si>
  <si>
    <t>Av. Libertad Sur  S/N  Esq. Hidalgo</t>
  </si>
  <si>
    <t>Centro San Martin Texmelucan</t>
  </si>
  <si>
    <t>11331@dominos.com.mx</t>
  </si>
  <si>
    <t>Cholula 2</t>
  </si>
  <si>
    <t>Tonatiuh Leonor Barragan</t>
  </si>
  <si>
    <t>Av.Aleman  #101  / Av.3 Pte Y Miguel Hidalgo</t>
  </si>
  <si>
    <t>11479@dominos.com.mx</t>
  </si>
  <si>
    <t>Tlaxcala Centro</t>
  </si>
  <si>
    <t>Yonathan Alvarez Garcia</t>
  </si>
  <si>
    <t>Julian Carrillo No. 7</t>
  </si>
  <si>
    <t>11621@dominos.com.mx</t>
  </si>
  <si>
    <t>Outlet Puebla</t>
  </si>
  <si>
    <t>Barrio Sn Antonio</t>
  </si>
  <si>
    <t>11831@dominos.com.mx</t>
  </si>
  <si>
    <t>Cruz Del Sur</t>
  </si>
  <si>
    <t>Jorge Antonio Cabañas Rodriguez</t>
  </si>
  <si>
    <t>Av. Forjadores De Puebla 1009 Int G-18, Centro Comercial Cruz Del Sur</t>
  </si>
  <si>
    <t>Cuautlancingo</t>
  </si>
  <si>
    <t>11861@dominos.com.mx</t>
  </si>
  <si>
    <t>Pachuca I</t>
  </si>
  <si>
    <t>Beatriz Del Carmen Morales Perez</t>
  </si>
  <si>
    <t>Juan Carlos Rojas Palma</t>
  </si>
  <si>
    <t xml:space="preserve">Blvd Everardo Marquez 208 </t>
  </si>
  <si>
    <t>Cuesco</t>
  </si>
  <si>
    <t>11040@dominos.com.mx</t>
  </si>
  <si>
    <t>Tulancingo</t>
  </si>
  <si>
    <t>Jose David Martinez Garcia</t>
  </si>
  <si>
    <t>Manuel Fernando Soto 101-Bis</t>
  </si>
  <si>
    <t>11176@dominos.com.mx</t>
  </si>
  <si>
    <t>Leticia Moctezuma Perez</t>
  </si>
  <si>
    <t>Carr. Mex-Pachuca Km. 84.5</t>
  </si>
  <si>
    <t>Rovirosa</t>
  </si>
  <si>
    <t>11262@dominos.com.mx</t>
  </si>
  <si>
    <t>Karla Adriana Madrigal De La Rosa</t>
  </si>
  <si>
    <t>Blvd. Pach-Tulancingo 113-C</t>
  </si>
  <si>
    <t>Cespedes</t>
  </si>
  <si>
    <t>11351@dominos.com.mx</t>
  </si>
  <si>
    <t>Tula</t>
  </si>
  <si>
    <t>Luis Alfonso Gonzalez Cadenas</t>
  </si>
  <si>
    <t>Melchor Ocampo 220</t>
  </si>
  <si>
    <t>11425@dominos.com.mx</t>
  </si>
  <si>
    <t>Luis Manuel Reyes Albarran</t>
  </si>
  <si>
    <t>Ant. Carr. Mex-Qro 100</t>
  </si>
  <si>
    <t>11489@dominos.com.mx</t>
  </si>
  <si>
    <t>Tizayuca</t>
  </si>
  <si>
    <t>Rosa Elena Miriam Ortiz Vidal</t>
  </si>
  <si>
    <t>Super Manzana 1 Lote1</t>
  </si>
  <si>
    <t>Zona Industrial</t>
  </si>
  <si>
    <t>11536@dominos.com.mx</t>
  </si>
  <si>
    <t>Galerias Pachuca</t>
  </si>
  <si>
    <t>Janeth Hernandez Hernandez</t>
  </si>
  <si>
    <t>Camino Real De La Plata 100 Loc Fc-220B</t>
  </si>
  <si>
    <t>Zona Plateada</t>
  </si>
  <si>
    <t>11845@dominos.com.mx</t>
  </si>
  <si>
    <t>Mundo Futbol</t>
  </si>
  <si>
    <t>Aldo Francisco Villarreal Alcantara</t>
  </si>
  <si>
    <t>Camino Real De La Plata S/N  Centro Interactivo Mundo Futbol</t>
  </si>
  <si>
    <t>11898@dominos.com.mx</t>
  </si>
  <si>
    <t>Puebla Fuertes</t>
  </si>
  <si>
    <t>Erick David Heredia Cruz</t>
  </si>
  <si>
    <t>Marcos Valentin Solis</t>
  </si>
  <si>
    <t>Diag.Defensores De La Republica 897</t>
  </si>
  <si>
    <t>Adolfo Lopez Mateos</t>
  </si>
  <si>
    <t>11092@dominos.com.mx</t>
  </si>
  <si>
    <t>Tehuacan</t>
  </si>
  <si>
    <t>Calz. Adolfo Lopez Mateos 2408 Local  A Y B</t>
  </si>
  <si>
    <t>Zona Alta</t>
  </si>
  <si>
    <t>Tehuacán</t>
  </si>
  <si>
    <t>11112@dominos.com.mx</t>
  </si>
  <si>
    <t>Puebla Capu</t>
  </si>
  <si>
    <t>Reyna Lezama Mora</t>
  </si>
  <si>
    <t>Av.La Pedrera 2513</t>
  </si>
  <si>
    <t>Las Cuartillas</t>
  </si>
  <si>
    <t>11325@dominos.com.mx</t>
  </si>
  <si>
    <t>Puebla Xonaca</t>
  </si>
  <si>
    <t>Luis Arturo Leon De La Peña Santos</t>
  </si>
  <si>
    <t xml:space="preserve"> Juan N. Méndez 79,  </t>
  </si>
  <si>
    <t>Joaquin Colombres</t>
  </si>
  <si>
    <t>11332@dominos.com.mx</t>
  </si>
  <si>
    <t>San Sebastian</t>
  </si>
  <si>
    <t xml:space="preserve">Blvd. Xonacatepec 139-A </t>
  </si>
  <si>
    <t>Bosques De San Sebastian</t>
  </si>
  <si>
    <t>11451@dominos.com.mx</t>
  </si>
  <si>
    <t>Tehuacán Ii</t>
  </si>
  <si>
    <t>Martha Ericka Garcia Lara</t>
  </si>
  <si>
    <t>Av Independencia Oriente 701-A (Centro Comercial Chedraui)</t>
  </si>
  <si>
    <t>11517@dominos.com.mx</t>
  </si>
  <si>
    <t>Soriana Chapultepec</t>
  </si>
  <si>
    <t>Isaura Gasca Diaz</t>
  </si>
  <si>
    <t>Av. Independencia #202</t>
  </si>
  <si>
    <t>Amalucan</t>
  </si>
  <si>
    <t>11640@dominos.com.mx</t>
  </si>
  <si>
    <t>Zocalo Puebla</t>
  </si>
  <si>
    <t>Javier Sanchez Luna</t>
  </si>
  <si>
    <t>Calle Portal  Hidalgo #6 Local 1</t>
  </si>
  <si>
    <t>11883@dominos.com.mx</t>
  </si>
  <si>
    <t>Galerias Hermanos Serdan</t>
  </si>
  <si>
    <t>Blvd. Hermanos Serdan N°270 Local 410 Dentro De Centro Comercial Galerias Serdan</t>
  </si>
  <si>
    <t>11956@dominos.com.mx</t>
  </si>
  <si>
    <t>Parque Puebla</t>
  </si>
  <si>
    <t>Julio Cesar Sanchez Ramirez</t>
  </si>
  <si>
    <t>Calzada Ignacio Zaragoza N°410 Local Fc-13</t>
  </si>
  <si>
    <t>Corredor Industrial La Cienega</t>
  </si>
  <si>
    <t>11989@dominos.com.mx</t>
  </si>
  <si>
    <t>Blvd. 5 De Mayo</t>
  </si>
  <si>
    <t>San Francisco</t>
  </si>
  <si>
    <t>12336@dominos.com.mx</t>
  </si>
  <si>
    <t>Rancho Guadalupe</t>
  </si>
  <si>
    <t>12345@dominos.com.mx</t>
  </si>
  <si>
    <t>Veracruz Ruiz Cortínez</t>
  </si>
  <si>
    <t>Lizeth Portugal Hernandez</t>
  </si>
  <si>
    <t>Maria Eugenia Moreno De La Vega</t>
  </si>
  <si>
    <t>Av. Adolfo Ruiz Cortines 171, Esq. Mar De Arabia</t>
  </si>
  <si>
    <t>Costa Verde</t>
  </si>
  <si>
    <t>Boca Del Río</t>
  </si>
  <si>
    <t>11039@dominos.com.mx</t>
  </si>
  <si>
    <t>Córdoba</t>
  </si>
  <si>
    <t>Elizabeth Carrion Hernandez</t>
  </si>
  <si>
    <t>Av. Uno  # 1001  Esq.Calle 10</t>
  </si>
  <si>
    <t>11065@dominos.com.mx</t>
  </si>
  <si>
    <t>Orizaba</t>
  </si>
  <si>
    <t>Nelly Gabriela Morales Solis</t>
  </si>
  <si>
    <t>Calle Oriente 6 S/N Esq. Sur 11</t>
  </si>
  <si>
    <t>11128@dominos.com.mx</t>
  </si>
  <si>
    <t>Veracruz Coyol</t>
  </si>
  <si>
    <t>Jesus Manuel Tapia Mendez</t>
  </si>
  <si>
    <t>Ave.Eje 1 Pte Mz. 22 Esq. Adolfo Ruiz Cortines</t>
  </si>
  <si>
    <t>11327@dominos.com.mx</t>
  </si>
  <si>
    <t>Boca Del Rió</t>
  </si>
  <si>
    <t>Pedro Eduardo Lagunes Lara</t>
  </si>
  <si>
    <t>Blvd. Miguel Aleman S/N</t>
  </si>
  <si>
    <t>Playa Hermosa</t>
  </si>
  <si>
    <t>11336@dominos.com.mx</t>
  </si>
  <si>
    <t>Veracruz Floresta</t>
  </si>
  <si>
    <t>Angel Fernando Garcia Ramirez</t>
  </si>
  <si>
    <t>11411@dominos.com.mx</t>
  </si>
  <si>
    <t>Fortin Las Flores</t>
  </si>
  <si>
    <t>Veronica Fabiola Rosas Rosas</t>
  </si>
  <si>
    <t>Calle 1 Oriente N°103</t>
  </si>
  <si>
    <t>Fortin De Las Flores Centro</t>
  </si>
  <si>
    <t>11582@dominos.com.mx</t>
  </si>
  <si>
    <t>Diaz Miron</t>
  </si>
  <si>
    <t>Libia Cristal Caracas Sanchez</t>
  </si>
  <si>
    <t>Av. Salvador Diaz Miron Mz 20 N°781  Local B</t>
  </si>
  <si>
    <t>Veracruz Centro</t>
  </si>
  <si>
    <t>11604@dominos.com.mx</t>
  </si>
  <si>
    <t>Portales Veracruz</t>
  </si>
  <si>
    <t>Alvaro Segovia Dominguez</t>
  </si>
  <si>
    <t xml:space="preserve">Av. Miguel Lerdo 87 Int 89, Entre Zaragoza E Independencia </t>
  </si>
  <si>
    <t>11817@dominos.com.mx</t>
  </si>
  <si>
    <t>Las Américas Veracruz</t>
  </si>
  <si>
    <t>Ana Judith Marin Gonzalez</t>
  </si>
  <si>
    <t>Av.Las Americas S/N Local 1(Plaza Las Americas)</t>
  </si>
  <si>
    <t>Ylang Ylang</t>
  </si>
  <si>
    <t>11856@dominos.com.mx</t>
  </si>
  <si>
    <t>Río Blanco</t>
  </si>
  <si>
    <t>Av México 462</t>
  </si>
  <si>
    <t>12346@dominos.com.mx</t>
  </si>
  <si>
    <t>Campeche San José</t>
  </si>
  <si>
    <t>012</t>
  </si>
  <si>
    <t>Juan Diego Chi Trejo</t>
  </si>
  <si>
    <t>David Jesus Trinidad Castillo</t>
  </si>
  <si>
    <t>Avenida  Patricio Trueba De Regil S/N Lt 1 Y 2, Entre Nevada Y Villas De Ferrocarril</t>
  </si>
  <si>
    <t>Fracciorama 2000</t>
  </si>
  <si>
    <t>Campeche</t>
  </si>
  <si>
    <t>11147@dominos.com.mx</t>
  </si>
  <si>
    <t>Cd. Del Carmen</t>
  </si>
  <si>
    <t>Miguel Cruz Ramirez</t>
  </si>
  <si>
    <t>Calle 31 Num 171</t>
  </si>
  <si>
    <t>Aviacion</t>
  </si>
  <si>
    <t>11158@dominos.com.mx</t>
  </si>
  <si>
    <t>Campeche Villa Del Río</t>
  </si>
  <si>
    <t>Silvana Del Jesus Loeza Perez</t>
  </si>
  <si>
    <t>Avenida  Francisco I Madero Num 1, Entre Calle 16 Y Villas Del Rio</t>
  </si>
  <si>
    <t xml:space="preserve"> Villa Del Rio</t>
  </si>
  <si>
    <t>11303@dominos.com.mx</t>
  </si>
  <si>
    <t>Cd. Del Carmen San Francisco</t>
  </si>
  <si>
    <t>Ruben Alain Juarez Sosa</t>
  </si>
  <si>
    <t>Carretera Carmen Real Km 4 Loc.1</t>
  </si>
  <si>
    <t>Frac San Francisco</t>
  </si>
  <si>
    <t>11304@dominos.com.mx</t>
  </si>
  <si>
    <t>Cd. Del Carmen Iii</t>
  </si>
  <si>
    <t>Minia Mariola Pavon Tejada</t>
  </si>
  <si>
    <t>Calle 24 Num 53 Local B, Entre Calle 29 Y 29A</t>
  </si>
  <si>
    <t>11462@dominos.com.mx</t>
  </si>
  <si>
    <t>Puerto Real</t>
  </si>
  <si>
    <t>Joel Ivan Nuñez Torres</t>
  </si>
  <si>
    <t xml:space="preserve">Carretera Carmen Puerto Real Km 5.5 Mza B Loc. 10 </t>
  </si>
  <si>
    <t>Fracc. Residencial Del Lago</t>
  </si>
  <si>
    <t>11523@dominos.com.mx</t>
  </si>
  <si>
    <t>Galerias Campeche</t>
  </si>
  <si>
    <t>Shamira Aurora Cauich Gonzalez</t>
  </si>
  <si>
    <t>Av. Pedro Sainz De Baranda S/N Local 305</t>
  </si>
  <si>
    <t>Colonia Ah Kim Pech</t>
  </si>
  <si>
    <t>11935@dominos.com.mx</t>
  </si>
  <si>
    <t>Cancún Coba</t>
  </si>
  <si>
    <t>Jennifer De Dios Olsin</t>
  </si>
  <si>
    <t>Manzana 2 Num 3 Y 4 Int 14 (Plaza Las Avenidas)</t>
  </si>
  <si>
    <t>Smza 35</t>
  </si>
  <si>
    <t>Cancún</t>
  </si>
  <si>
    <t>Quintana Roo</t>
  </si>
  <si>
    <t>11002@dominos.com.mx</t>
  </si>
  <si>
    <t>Cancún López Portillo</t>
  </si>
  <si>
    <t>Marco Antonio Ferrando Morales</t>
  </si>
  <si>
    <t>Av. Lopez Portillo, Mza.1, Lte.17 Loc.1 Y 2</t>
  </si>
  <si>
    <t>Sm 60</t>
  </si>
  <si>
    <t>11175@dominos.com.mx</t>
  </si>
  <si>
    <t>Playa Del Carmen</t>
  </si>
  <si>
    <t>Estrella De Los Ange Ponce  Gutierrez</t>
  </si>
  <si>
    <t>Av. Juarez Esq. 45 Av. Sur, Plaza Papagayos, Planta Baja, Local 16</t>
  </si>
  <si>
    <t>11221@dominos.com.mx</t>
  </si>
  <si>
    <t>Cozumel</t>
  </si>
  <si>
    <t>Dolores Yanely Poot Tamayo</t>
  </si>
  <si>
    <t>Av. Pedro Joaquin Codwell Esq. Adolfo Rosado Salas, Reg.4Ta. Mza.10 Lote 03 F-Iv</t>
  </si>
  <si>
    <t>Cozumel Centro</t>
  </si>
  <si>
    <t>11247@dominos.com.mx</t>
  </si>
  <si>
    <t>Cancun Bonfil</t>
  </si>
  <si>
    <t>Jorge Santiago Loria Raygoza</t>
  </si>
  <si>
    <t>Boulevard Luis Donaldo Colosio Manzana 1 Zona 8 Lote 54</t>
  </si>
  <si>
    <t>Alfredo V Bonfil</t>
  </si>
  <si>
    <t>11432@dominos.com.mx</t>
  </si>
  <si>
    <t>La Luna</t>
  </si>
  <si>
    <t>Luis Angel Torres Saldivar</t>
  </si>
  <si>
    <t>Av. La Luna Esq. Av. Tecnologico, Mza.22, Lote 1</t>
  </si>
  <si>
    <t>Reg 504</t>
  </si>
  <si>
    <t>11457@dominos.com.mx</t>
  </si>
  <si>
    <t>Playa Del Carmen Ii</t>
  </si>
  <si>
    <t>Gilberto Zetina Valenzuela</t>
  </si>
  <si>
    <t>Manzana 44 Zona 1 Lote 2</t>
  </si>
  <si>
    <t>11473@dominos.com.mx</t>
  </si>
  <si>
    <t>Felipe Carrillo Puerto</t>
  </si>
  <si>
    <t>Yazmin Guadalupe Uc Huitzil</t>
  </si>
  <si>
    <t>Calle 57 # 857 X Avenida Benito Juarez Y 68</t>
  </si>
  <si>
    <t>Juan B. Vega</t>
  </si>
  <si>
    <t>Carrillo Puerto</t>
  </si>
  <si>
    <t>11482@dominos.com.mx</t>
  </si>
  <si>
    <t>Cancun Kabah</t>
  </si>
  <si>
    <t>Patricia Colorado Arias</t>
  </si>
  <si>
    <t>Av. Kabah Manzana 4 Lote 3 Plaza Village Kabah Local B-109 Y B-440, Entre Av De Las Torres Y Av. Nichupte</t>
  </si>
  <si>
    <t>Sm 55</t>
  </si>
  <si>
    <t>11511@dominos.com.mx</t>
  </si>
  <si>
    <t>Playa Las Américas</t>
  </si>
  <si>
    <t>Paseo Central Sm 52 Mza 1 Lt 1, Local G-8 Comercial Las Americas Playa Del Carmen</t>
  </si>
  <si>
    <t>Smz 52</t>
  </si>
  <si>
    <t>11519@dominos.com.mx</t>
  </si>
  <si>
    <t>Kabah Ii</t>
  </si>
  <si>
    <t>Av. Rodrigo Gomez , Manzana 9, Lote 1-15, Fd Pb 01</t>
  </si>
  <si>
    <t>Supermanzana 38</t>
  </si>
  <si>
    <t>11619@dominos.com.mx</t>
  </si>
  <si>
    <t>Public Market</t>
  </si>
  <si>
    <t>Av. C.T.M. F2 Local A</t>
  </si>
  <si>
    <t>Playa Del Carmen Centro</t>
  </si>
  <si>
    <t>12323@dominos.com.mx</t>
  </si>
  <si>
    <t>Tulum</t>
  </si>
  <si>
    <t>Jorge Arturo Sanchez Hernandez</t>
  </si>
  <si>
    <t>Tulum Centro</t>
  </si>
  <si>
    <t>12333@dominos.com.mx</t>
  </si>
  <si>
    <t>Mérida García Gineres</t>
  </si>
  <si>
    <t>Maria Luisa Rios Chan</t>
  </si>
  <si>
    <t>Hilario Marquez Nicolas</t>
  </si>
  <si>
    <t>Calle 32 Num 200 Local Dpto 1 Y 2</t>
  </si>
  <si>
    <t>Garcia Gineres</t>
  </si>
  <si>
    <t>Mérida</t>
  </si>
  <si>
    <t>Yucatán</t>
  </si>
  <si>
    <t>11084@dominos.com.mx</t>
  </si>
  <si>
    <t>Chetumal</t>
  </si>
  <si>
    <t>Daniel Alberto Bernal Rejon</t>
  </si>
  <si>
    <t>Av. San Salvador No.293 Esq. Zapata</t>
  </si>
  <si>
    <t>Parque Las Casistas</t>
  </si>
  <si>
    <t>11122@dominos.com.mx</t>
  </si>
  <si>
    <t>Mérida Centro</t>
  </si>
  <si>
    <t>Calle 61 Num 457</t>
  </si>
  <si>
    <t>11202@dominos.com.mx</t>
  </si>
  <si>
    <t>Merida Itzaes</t>
  </si>
  <si>
    <t>Calle 86-B Num 589B</t>
  </si>
  <si>
    <t>Sambula</t>
  </si>
  <si>
    <t>11350@dominos.com.mx</t>
  </si>
  <si>
    <t>Chetumal Ii</t>
  </si>
  <si>
    <t>Jhonatan Luis Vargas Nuñez</t>
  </si>
  <si>
    <t>Insurgentes Num 52</t>
  </si>
  <si>
    <t>Sahop</t>
  </si>
  <si>
    <t>11368@dominos.com.mx</t>
  </si>
  <si>
    <t>Chetumal Iii</t>
  </si>
  <si>
    <t>German Trujillo Nahuat</t>
  </si>
  <si>
    <t>Centro Comercial Plaza Las Americas Local G-6 Av. Insurgentes Km 5.02 (Zona De Comida De Plaza Las Américas)</t>
  </si>
  <si>
    <t>Emancipacion Infonavit</t>
  </si>
  <si>
    <t>11464@dominos.com.mx</t>
  </si>
  <si>
    <t>Merida Oriente</t>
  </si>
  <si>
    <t>Calle 15 Num 196 Lc 1</t>
  </si>
  <si>
    <t>Vergel 65</t>
  </si>
  <si>
    <t>11465@dominos.com.mx</t>
  </si>
  <si>
    <t>Merida Sur</t>
  </si>
  <si>
    <t>Herve Josue Bermejo Sanchez</t>
  </si>
  <si>
    <t>Calle 46 B Num 788 Y 790</t>
  </si>
  <si>
    <t>Villa Magna Del Sur</t>
  </si>
  <si>
    <t>11474@dominos.com.mx</t>
  </si>
  <si>
    <t>Otilio Abraham Paredes Tejero</t>
  </si>
  <si>
    <t>Calle 53 Mz 452 Secc Catastral 23 No. 302</t>
  </si>
  <si>
    <t>Juan Pablo Ii</t>
  </si>
  <si>
    <t>12334@dominos.com.mx</t>
  </si>
  <si>
    <t>Cancún Plaza Dady´O</t>
  </si>
  <si>
    <t>Carlos Perez Herrera</t>
  </si>
  <si>
    <t>Juan Jose Malagon Montalvo</t>
  </si>
  <si>
    <t>Blvd. Kukulcan Km.9, Plaza Dady'O, Local B-3</t>
  </si>
  <si>
    <t>Zona Hotelera</t>
  </si>
  <si>
    <t>11006@dominos.com.mx</t>
  </si>
  <si>
    <t>Royal Mayan</t>
  </si>
  <si>
    <t>Blvd. Kukulcan Km. 12.5 Mza.52 Lote 64</t>
  </si>
  <si>
    <t>11069@dominos.com.mx</t>
  </si>
  <si>
    <t>Cancún Plaza Esmeralda</t>
  </si>
  <si>
    <t>Anthony Steel Gotay Alonzo</t>
  </si>
  <si>
    <t>Av. Niños Heroes No.2 Mza.61, Lote 15</t>
  </si>
  <si>
    <t>Reg 240</t>
  </si>
  <si>
    <t>11212@dominos.com.mx</t>
  </si>
  <si>
    <t>Cancun Campo Militar</t>
  </si>
  <si>
    <t>Suleyma Aremi Jacinto Ruiz</t>
  </si>
  <si>
    <t>Mza.61 Loc. 5 Y 6 Ltes.1 Al 7, 29 Y 30</t>
  </si>
  <si>
    <t>Supermanzana 102</t>
  </si>
  <si>
    <t>11328@dominos.com.mx</t>
  </si>
  <si>
    <t>Chedraui Cancun</t>
  </si>
  <si>
    <t>Gustavo Enrique Gomez Damian</t>
  </si>
  <si>
    <t>Av. Puerto Juarez S/N. Franja Norte, Mza.1, Lote 49 Locs. 3, 4 Y 5,  Zona B (Chedrahui De La Talleres)</t>
  </si>
  <si>
    <t>Reg 218</t>
  </si>
  <si>
    <t>11455@dominos.com.mx</t>
  </si>
  <si>
    <t>Cancun Mall</t>
  </si>
  <si>
    <t>Centro Comercial Cancun Mall Local G-7  Lote 1, Mza. 22, Zona Urbana Entre Av. Circuito Vial Y Av. Costa Maya</t>
  </si>
  <si>
    <t>Sm. 228</t>
  </si>
  <si>
    <t>11471@dominos.com.mx</t>
  </si>
  <si>
    <t>Paraíso Maya</t>
  </si>
  <si>
    <t>Gustavo Coca Vazquez</t>
  </si>
  <si>
    <t>Carretera Federal Merida-Cancun Km 309 Sm 105 Mza 82 Lt 1 Local 1</t>
  </si>
  <si>
    <t>Region 105</t>
  </si>
  <si>
    <t>11518@dominos.com.mx</t>
  </si>
  <si>
    <t>Villamarino</t>
  </si>
  <si>
    <t>Bany Mazariegos Vazquez</t>
  </si>
  <si>
    <t>Manzana 7 Lote 1-01, Local 4-2</t>
  </si>
  <si>
    <t>Supermanzana 317</t>
  </si>
  <si>
    <t>11603@dominos.com.mx</t>
  </si>
  <si>
    <t>Arco Norte</t>
  </si>
  <si>
    <t>Juan Ricardo Canche Mukul</t>
  </si>
  <si>
    <t xml:space="preserve">Sm. 251  M11 Locales E1, E2 Y E9 Av. Lakin </t>
  </si>
  <si>
    <t>Col. Paseo Del Mar</t>
  </si>
  <si>
    <t>11645@dominos.com.mx</t>
  </si>
  <si>
    <t xml:space="preserve">Av. Heberto Castillo Martinez Lt 1 Mz 30  Centro  Comercial Eureka Locales 1 Y 2, Supermanzana 248 </t>
  </si>
  <si>
    <t xml:space="preserve">Benito Juarez </t>
  </si>
  <si>
    <t>11647@dominos.com.mx</t>
  </si>
  <si>
    <t>Plaza Cancun 2000</t>
  </si>
  <si>
    <t>Av. Tulum Esq. Lopez Portillo, Mza.4 Lte.10 Plaza Cancun 2000 Locs.228-229-230 (Plaza Cancun 2000)</t>
  </si>
  <si>
    <t>Smza 63</t>
  </si>
  <si>
    <t>11770@dominos.com.mx</t>
  </si>
  <si>
    <t>Puerto Cancún</t>
  </si>
  <si>
    <t>Cindhi Beatriz Gomez Zarate</t>
  </si>
  <si>
    <t>Av. Bonampak  Seccion E  Mz 27 Int 05</t>
  </si>
  <si>
    <t xml:space="preserve">Col. Zona Hotelera </t>
  </si>
  <si>
    <t>12310@dominos.com.mx</t>
  </si>
  <si>
    <t>Huayacan</t>
  </si>
  <si>
    <t>Jose Eduardo Montoya Koo</t>
  </si>
  <si>
    <t>Cancún Centro</t>
  </si>
  <si>
    <t>12353@dominos.com.mx</t>
  </si>
  <si>
    <t>Mérida Campestre</t>
  </si>
  <si>
    <t>Ana Sofia Landero Landero</t>
  </si>
  <si>
    <t>Karina Alejandra Chacon Perera</t>
  </si>
  <si>
    <t>Calle 54 Num 345C</t>
  </si>
  <si>
    <t>Benito Juarez Nte</t>
  </si>
  <si>
    <t>11032@dominos.com.mx</t>
  </si>
  <si>
    <t>Mérida Fiesta</t>
  </si>
  <si>
    <t>Calle 6 Num 425A</t>
  </si>
  <si>
    <t>Felipe Carrillo Puerto Nte</t>
  </si>
  <si>
    <t>11224@dominos.com.mx</t>
  </si>
  <si>
    <t>Valladolid</t>
  </si>
  <si>
    <t>Timoteo Tamay Noh</t>
  </si>
  <si>
    <t>Calle 41 Num 206 Int 180</t>
  </si>
  <si>
    <t>11326@dominos.com.mx</t>
  </si>
  <si>
    <t>Merida Francisco Montejo</t>
  </si>
  <si>
    <t>Benjamin De Jesus Garibay Canul</t>
  </si>
  <si>
    <t>Calle 50 Num 457</t>
  </si>
  <si>
    <t>Francisco De Montejo</t>
  </si>
  <si>
    <t>11367@dominos.com.mx</t>
  </si>
  <si>
    <t>Progreso</t>
  </si>
  <si>
    <t>Calle 80 Num 130 A</t>
  </si>
  <si>
    <t>11436@dominos.com.mx</t>
  </si>
  <si>
    <t>City Center</t>
  </si>
  <si>
    <t>Gema Isabel Gonzalez Ovando</t>
  </si>
  <si>
    <t>Calle 30 No. 185 Locales 24 Y 25, Centro Comercial City Center Mérida</t>
  </si>
  <si>
    <t>San Ramón Norte</t>
  </si>
  <si>
    <t>11557@dominos.com.mx</t>
  </si>
  <si>
    <t>Caucel</t>
  </si>
  <si>
    <t>Calle 54 No. 599, Local 3</t>
  </si>
  <si>
    <t>Gran Santa Fe</t>
  </si>
  <si>
    <t>11618@dominos.com.mx</t>
  </si>
  <si>
    <t>Sergio Chan Verdejo</t>
  </si>
  <si>
    <t>Calle 100 X 57 D Y 59  Nol. 252</t>
  </si>
  <si>
    <t>12338@dominos.com.mx</t>
  </si>
  <si>
    <t>Cholul</t>
  </si>
  <si>
    <t>Maria Jesus Tzab Yam</t>
  </si>
  <si>
    <t>Calle 20 Mz 321 Secc Catastral 35 No. 252</t>
  </si>
  <si>
    <t>San Pedro Cholul</t>
  </si>
  <si>
    <t>12351@dominos.com.mx</t>
  </si>
  <si>
    <t>Bosque Real</t>
  </si>
  <si>
    <t>Cierres (menor a 12 meses)</t>
  </si>
  <si>
    <t>Plaza Satélite</t>
  </si>
  <si>
    <t>Zoológico</t>
  </si>
  <si>
    <t>Bordo De Xochiaca</t>
  </si>
  <si>
    <t>Pachuca Ii</t>
  </si>
  <si>
    <t>Pachuca Iii</t>
  </si>
  <si>
    <t>Tepeji Del Rio</t>
  </si>
  <si>
    <t>12365@dominos.com.mx</t>
  </si>
  <si>
    <t>Solares</t>
  </si>
  <si>
    <t>Itzel Fernanda Lopez Salvador</t>
  </si>
  <si>
    <t>Carlos Andres Gutierrez Garcia</t>
  </si>
  <si>
    <t>Juan Carlos Saucedo Gutierrez</t>
  </si>
  <si>
    <t>Ana Laura Mateos Hernandez</t>
  </si>
  <si>
    <t>Francisco Javier Jimenez Hidalgo</t>
  </si>
  <si>
    <t>Humberto Ramirez Olarte</t>
  </si>
  <si>
    <t>Dulce Gabriela Juarez Palafox</t>
  </si>
  <si>
    <t>Lourdes Isabel Canul Puc</t>
  </si>
  <si>
    <t>Sheila Sabrina Alfaro Sulub</t>
  </si>
  <si>
    <t>Luis Gerardo Tec Cauich</t>
  </si>
  <si>
    <t>Toreo Ii</t>
  </si>
  <si>
    <t>Santa Cruz Del Monte</t>
  </si>
  <si>
    <t>Plaza La Cúspide</t>
  </si>
  <si>
    <t>Lago De Guadalupe</t>
  </si>
  <si>
    <t>Vista Hermosa Cuernavaca</t>
  </si>
  <si>
    <t>Acapatzingo</t>
  </si>
  <si>
    <t>Civac</t>
  </si>
  <si>
    <t>Carrefour Cuernavaca</t>
  </si>
  <si>
    <t>Cuernavaca Centro</t>
  </si>
  <si>
    <t>Mega Cuautla</t>
  </si>
  <si>
    <t>Galerias Cuernavaca</t>
  </si>
  <si>
    <t>Lomas De Cuernavaca</t>
  </si>
  <si>
    <t>Avenida Universidad Cuernavaca</t>
  </si>
  <si>
    <t>Bosques</t>
  </si>
  <si>
    <t>Interlomas</t>
  </si>
  <si>
    <t>Jesus Del Monte</t>
  </si>
  <si>
    <t>Torre Diamante</t>
  </si>
  <si>
    <t>Pueblo Santa Fe</t>
  </si>
  <si>
    <t>Acoxpa</t>
  </si>
  <si>
    <t>Periferico</t>
  </si>
  <si>
    <t>Tepepan</t>
  </si>
  <si>
    <t>Iztapalapa Ii</t>
  </si>
  <si>
    <t>Wal-Mart Tlahuac</t>
  </si>
  <si>
    <t>Perisur</t>
  </si>
  <si>
    <t>Paseo Acoxpa</t>
  </si>
  <si>
    <t>Madre Selva</t>
  </si>
  <si>
    <t>Guadalupe Inn</t>
  </si>
  <si>
    <t>Napoles</t>
  </si>
  <si>
    <t>Aguilas</t>
  </si>
  <si>
    <t>Santa Lucia</t>
  </si>
  <si>
    <t>Alfonso Xiii</t>
  </si>
  <si>
    <t>Walmart Plateros</t>
  </si>
  <si>
    <t>Plaza Tenaria</t>
  </si>
  <si>
    <t>Wtc</t>
  </si>
  <si>
    <t>Portal San Angel</t>
  </si>
  <si>
    <t>Plaza Exhibimex</t>
  </si>
  <si>
    <t>Pedregal</t>
  </si>
  <si>
    <t>San Jeronimo</t>
  </si>
  <si>
    <t>Insurgentes</t>
  </si>
  <si>
    <t>Contreras</t>
  </si>
  <si>
    <t>Volcanes</t>
  </si>
  <si>
    <t>Ajusco</t>
  </si>
  <si>
    <t>Fuentes Del Pedregal</t>
  </si>
  <si>
    <t>Cafetales</t>
  </si>
  <si>
    <t>Division Del Norte</t>
  </si>
  <si>
    <t>Miramontes</t>
  </si>
  <si>
    <t>Plutarco</t>
  </si>
  <si>
    <t>Santa Ana</t>
  </si>
  <si>
    <t>San Andres</t>
  </si>
  <si>
    <t>Las Antenas</t>
  </si>
  <si>
    <t>Costa Azul</t>
  </si>
  <si>
    <t>Magallanes</t>
  </si>
  <si>
    <t>Progreso (Cima)</t>
  </si>
  <si>
    <t>Acapulco Centro Constituyentes</t>
  </si>
  <si>
    <t>Plaza Diamante</t>
  </si>
  <si>
    <t>Acapulco Costa Azul</t>
  </si>
  <si>
    <t>Patio Acapulco</t>
  </si>
  <si>
    <t>Plaza Las Palmas</t>
  </si>
  <si>
    <t>Caleta</t>
  </si>
  <si>
    <t>Toluca Pilares</t>
  </si>
  <si>
    <t>Toluca Independencia</t>
  </si>
  <si>
    <t>Observatorio</t>
  </si>
  <si>
    <t>Lerma</t>
  </si>
  <si>
    <t>Aeropuerto Toluca</t>
  </si>
  <si>
    <t>Zitacuaro</t>
  </si>
  <si>
    <t>Tecnologico Metepec</t>
  </si>
  <si>
    <t>Jose Maria Castorena</t>
  </si>
  <si>
    <t>Galerias Toluca</t>
  </si>
  <si>
    <t>Campestre</t>
  </si>
  <si>
    <t>Copilco</t>
  </si>
  <si>
    <t>Popocatepetl</t>
  </si>
  <si>
    <t>Aztecas Sur</t>
  </si>
  <si>
    <t>Wm Felix Cuevas</t>
  </si>
  <si>
    <t>Avenida Universidad</t>
  </si>
  <si>
    <t>Cerro De Las Torres</t>
  </si>
  <si>
    <t>Mty Anahuac</t>
  </si>
  <si>
    <t>Jonnathan Eduardo Garza Alferez</t>
  </si>
  <si>
    <t>Av. Universidad #111</t>
  </si>
  <si>
    <t>Anahuac</t>
  </si>
  <si>
    <t>11138@dominos.com.mx</t>
  </si>
  <si>
    <t>Manuel De Jesus Garcia Morales</t>
  </si>
  <si>
    <t>Javier Alejandro Zeron  Correa</t>
  </si>
  <si>
    <t>Keila Ortega Cabello</t>
  </si>
  <si>
    <t>Eva Lucia Gonzalez Ramirez</t>
  </si>
  <si>
    <t>Vianey Gonzalez Garcia</t>
  </si>
  <si>
    <t>Erick Norberto Torres De La Rosa</t>
  </si>
  <si>
    <t>Guadalupe Rachel Bautista Vargas</t>
  </si>
  <si>
    <t>Jorge Eduardo Morales Gonzalez</t>
  </si>
  <si>
    <t>Erick Armando Saldaña Nuncio</t>
  </si>
  <si>
    <t>Juan Pablo Bravo Alvarez</t>
  </si>
  <si>
    <t>Jaime Hernandez Causor</t>
  </si>
  <si>
    <t>Elida Maldonado Obregon</t>
  </si>
  <si>
    <t>Karen Cecilia Fraustro Morales</t>
  </si>
  <si>
    <t>Violeta Aidee Hernandez Charles</t>
  </si>
  <si>
    <t>Ana Maricela Luna  Garcia</t>
  </si>
  <si>
    <t>Blanca Lizeth Jimenez Ibarra</t>
  </si>
  <si>
    <t>Ricardo Alejo Salazar Guajardo</t>
  </si>
  <si>
    <t>Jose Abraham Robledo Martinez</t>
  </si>
  <si>
    <t>Maria Veronica Guevara Olvera</t>
  </si>
  <si>
    <t>Cynthia Anahi Hernandez Gutierrez</t>
  </si>
  <si>
    <t>Vanessa Hernandez Soria</t>
  </si>
  <si>
    <t>Karla Marisol Herrera Loredo</t>
  </si>
  <si>
    <t>Nohemi De Jesus Garza Casillas</t>
  </si>
  <si>
    <t>Hadir Azael Gonzalez Lopez</t>
  </si>
  <si>
    <t>Adrian Barrientos  Esquivel</t>
  </si>
  <si>
    <t>Carolina Molina Garcia</t>
  </si>
  <si>
    <t>Juan De Jesus Hernandez Guel</t>
  </si>
  <si>
    <t>Esthela Celeste Rivera Ramirez</t>
  </si>
  <si>
    <t>Francisco Alfredo Enriquez Baez</t>
  </si>
  <si>
    <t>Jose Carlos Azael Arellano Aguilar</t>
  </si>
  <si>
    <t>Jesus Alberto Gutierrez Calzada</t>
  </si>
  <si>
    <t>Circuito Juan Pablo Ii 2521(Plaza Express)</t>
  </si>
  <si>
    <t>Prol 11 Sur 8328</t>
  </si>
  <si>
    <t>Los Pinos Mayorazgo</t>
  </si>
  <si>
    <t>Blvd. Vicente Guerrero Esq. Av. Fidel Velazquez 3232</t>
  </si>
  <si>
    <t>Av Avila Camacho 1091A</t>
  </si>
  <si>
    <t>Conjunto Patria</t>
  </si>
  <si>
    <t xml:space="preserve">San Bernardino Tlaxcalanzingo </t>
  </si>
  <si>
    <t>Calle 16 De Septiembre No. 8902</t>
  </si>
  <si>
    <t>Carretera Veracruz Xalapa Km 433 Local 5</t>
  </si>
  <si>
    <t>Neza Ii</t>
  </si>
  <si>
    <t>San Buenaventura</t>
  </si>
  <si>
    <t xml:space="preserve">Autopista Mex-Pue Km.115 </t>
  </si>
  <si>
    <t>Randcho Posadas</t>
  </si>
  <si>
    <t>Blvd. San Rancisco 1219</t>
  </si>
  <si>
    <t>Avenida Ejercito Mexicano N° 3750 Local A</t>
  </si>
  <si>
    <t>La Boricaria</t>
  </si>
  <si>
    <t>Villas Del Mar</t>
  </si>
  <si>
    <t>Mexicaltzingo</t>
  </si>
  <si>
    <t>12368@dominos.com.mx</t>
  </si>
  <si>
    <t>Granjas Esmeralda</t>
  </si>
  <si>
    <t>12376@dominos.com.mx</t>
  </si>
  <si>
    <t>Zócalo Acapulco</t>
  </si>
  <si>
    <t>Portales CDMX</t>
  </si>
  <si>
    <t>12374@dominos.com.mx</t>
  </si>
  <si>
    <t>Portales Norte</t>
  </si>
  <si>
    <t>12380@dominos.com.mx</t>
  </si>
  <si>
    <t>San Jerónimo Puebla</t>
  </si>
  <si>
    <t>Maria De La Luz Quintero Ortiz</t>
  </si>
  <si>
    <t>Yolanda Martinez Avila</t>
  </si>
  <si>
    <t>Ilich Gerardo Sanchez Rodriguez</t>
  </si>
  <si>
    <t>Jessica Janeth Bustos  Lopez</t>
  </si>
  <si>
    <t>Irasema Berenice Gomez Zarazua</t>
  </si>
  <si>
    <t xml:space="preserve">Jessica  Lopez Espinoza </t>
  </si>
  <si>
    <t>Jose Luis Perez Espinoza</t>
  </si>
  <si>
    <t xml:space="preserve">Lizeth Amairani  Moncada  Guevara </t>
  </si>
  <si>
    <t>Alvaro Ediberto Montesinos Martinez</t>
  </si>
  <si>
    <t>Stefani Jazmin Ramirez Rosas</t>
  </si>
  <si>
    <t>Karina Elidee Granados  Gonzalez</t>
  </si>
  <si>
    <t>Nancy Paulina Cruz Juarez</t>
  </si>
  <si>
    <t>Zaira Floresita  Martinez Hernandez</t>
  </si>
  <si>
    <t>Leslie Monserrat Guzman Martinez</t>
  </si>
  <si>
    <t>Jesus Eugenio Rivera Rodriguez</t>
  </si>
  <si>
    <t>Angel Mere Hernandez Contreras</t>
  </si>
  <si>
    <t>Guillermo Castañeda Reyes</t>
  </si>
  <si>
    <t>Jose Carlos Machorro Quintero</t>
  </si>
  <si>
    <t>Liliana Teresa Gonzalez Gonzalez</t>
  </si>
  <si>
    <t>Edwin Asmeth Vazquez Sanchez</t>
  </si>
  <si>
    <t>Nixau De Jesus Cortes Molina</t>
  </si>
  <si>
    <t>Jose Eduardo Gomez Ku</t>
  </si>
  <si>
    <t>Teresa Concepcion Gutierrez Esquivel</t>
  </si>
  <si>
    <t>Leslie Vanessa Estrella  Ramirez</t>
  </si>
  <si>
    <t>Queretaro Centro</t>
  </si>
  <si>
    <t>12358@dominos.com.mx</t>
  </si>
  <si>
    <t>Jessica Robles Famoso</t>
  </si>
  <si>
    <t>Chedraui Transversal</t>
  </si>
  <si>
    <t>Calle 30 Av. Esquina Adolfo Rosado Salas</t>
  </si>
  <si>
    <t>12382@dominos.com.mx</t>
  </si>
  <si>
    <t>01(998)3615687</t>
  </si>
  <si>
    <t>01 (987) 8721635</t>
  </si>
  <si>
    <t>Velamar</t>
  </si>
  <si>
    <t>12384@dominos.com.mx</t>
  </si>
  <si>
    <t>01(984)6884911</t>
  </si>
  <si>
    <t>01(984)1955015</t>
  </si>
  <si>
    <t>Rita Raquel Fernandez Salas</t>
  </si>
  <si>
    <t>Edwin Fernando Poot Gomez</t>
  </si>
  <si>
    <t>Ana Laura Hernandez Garcia</t>
  </si>
  <si>
    <t>Guadalupe Lopez Flores</t>
  </si>
  <si>
    <t>12383@dominos.com.mx</t>
  </si>
  <si>
    <t>Maribel Coxca Morones</t>
  </si>
  <si>
    <t>Juan Manuel García Juarez</t>
  </si>
  <si>
    <t>12413@dominos.com.mx</t>
  </si>
  <si>
    <t>Ciudad Satélite</t>
  </si>
  <si>
    <t>Centro Comercial Santa Fe</t>
  </si>
  <si>
    <t>Luz Del Carmen Antonio Hernandez</t>
  </si>
  <si>
    <t>Blvd. Loma Real Mz 1 Lte 1 No. 1 Int 2</t>
  </si>
  <si>
    <t>Calzada Ermita Iztapalapa 595 Int 595-A</t>
  </si>
  <si>
    <t>Andador De La Paz Esq Ignacio Ramírez No. 101 Int 101-A</t>
  </si>
  <si>
    <t>Cerro De Las Torres # 239</t>
  </si>
  <si>
    <t>Av Calzada De Tlalpan No. 1289 Int Pb1</t>
  </si>
  <si>
    <t>Camino Real De Carretas 416</t>
  </si>
  <si>
    <t>Av. Paseo Solares No. 4175 Int 88-6</t>
  </si>
  <si>
    <t>Camino A Tlaltepango 11210</t>
  </si>
  <si>
    <t>Av Huayacan Sm-310 Mz 153 No. L26 Interior Local 4 Letras A Y B</t>
  </si>
  <si>
    <t>Carretera Federal Tulum - Cancún Región 010 Supermanzana 000, Manzana 003, Lote 002 Sin Número Local L02</t>
  </si>
  <si>
    <t>Lomas De Atizapán</t>
  </si>
  <si>
    <t>Acapulco De Juárez Centro</t>
  </si>
  <si>
    <t>Haciendas De San Vicente</t>
  </si>
  <si>
    <t>Teléfono Gerente de Distrito</t>
  </si>
  <si>
    <t>Correo electrónico Gerente de Distrito</t>
  </si>
  <si>
    <t> alejandra.cruz@dominos.com.mx</t>
  </si>
  <si>
    <t>alfredo.martinez@dominos.com.mx</t>
  </si>
  <si>
    <t>alma.lopez@dominos.com.mx</t>
  </si>
  <si>
    <t>concepcion.bonilla@dominos.com.mx</t>
  </si>
  <si>
    <t>edgar.hernandez@dominos.com.mx</t>
  </si>
  <si>
    <t> gustavo.tenorio@dominos.com.mx</t>
  </si>
  <si>
    <t>marcela.reyes@dominos.com.mx</t>
  </si>
  <si>
    <t>diego.garcia@dominos.com.mx</t>
  </si>
  <si>
    <t>yonatan.donato@alsea.com.mx</t>
  </si>
  <si>
    <t>angel.cruz@dominos.com.mx</t>
  </si>
  <si>
    <t>cesar.gonzalez@dominos.com.mx</t>
  </si>
  <si>
    <t>edith.flores@dominos.com.mx</t>
  </si>
  <si>
    <t>elizabeth.mendez@dominos.com.mx</t>
  </si>
  <si>
    <t>Jose.Gallegos@dominos.com.mx</t>
  </si>
  <si>
    <t>juan.cebada@dominos.com.mx</t>
  </si>
  <si>
    <t>juan.escobar@dominos.com.mx</t>
  </si>
  <si>
    <t>rosa.morales@alsea.com.mx</t>
  </si>
  <si>
    <t>salvador.villagran@dominos.com.mx</t>
  </si>
  <si>
    <t>brenda.mendez@dominos.com.mx</t>
  </si>
  <si>
    <t>david.valdez@dominos.com.mx</t>
  </si>
  <si>
    <t>arturo.neri@dominos.com.mx</t>
  </si>
  <si>
    <t>fabiola.carrillo@dominos.com.mx</t>
  </si>
  <si>
    <t>hilda.alvarez@dominos.com.mx</t>
  </si>
  <si>
    <t>juan-pablo.armendariz@alsea.com.mx</t>
  </si>
  <si>
    <t>maria.gonzalez@dominos.com.mx</t>
  </si>
  <si>
    <t>antonio.nava@alsea.com.mx</t>
  </si>
  <si>
    <t>gerardo.jarquin@dominos.com.mx</t>
  </si>
  <si>
    <t>german.bautista@dominos.com.mx</t>
  </si>
  <si>
    <t>iris.nava@alsea.com.mx</t>
  </si>
  <si>
    <t>jorge.mendoza@dominos.com.mx</t>
  </si>
  <si>
    <t>miguel.torres@dominos.com.mx</t>
  </si>
  <si>
    <t>silvia.hernandez@dominos.com.mx</t>
  </si>
  <si>
    <t>yuliana.guzman@alsea.com.mx</t>
  </si>
  <si>
    <t xml:space="preserve">ana.gomez@dominos.com.mx </t>
  </si>
  <si>
    <t>emilio.sosa@dominos.com.mx</t>
  </si>
  <si>
    <t xml:space="preserve">ernestino.bernabe@dominos.com.mx </t>
  </si>
  <si>
    <t xml:space="preserve">jose.leon@dominos.com.mx </t>
  </si>
  <si>
    <t>jose.sosa@dominos.com.mx</t>
  </si>
  <si>
    <t>juan.rojas@dominos.com.mx</t>
  </si>
  <si>
    <t xml:space="preserve">marcos.valentin@dominos.com.mx </t>
  </si>
  <si>
    <t xml:space="preserve">mmoreno@dominos.com.mx </t>
  </si>
  <si>
    <t>david.trinidad@dominos.com.mx</t>
  </si>
  <si>
    <t>hilario.marquez@dominos.com.mx</t>
  </si>
  <si>
    <t>jmalagon@dominos.com.mx</t>
  </si>
  <si>
    <t>karina.chacon@dominos.com.mx</t>
  </si>
  <si>
    <t>Teléfono Regional</t>
  </si>
  <si>
    <t>55 41 30 22 79</t>
  </si>
  <si>
    <t>Correo electrónico Regional</t>
  </si>
  <si>
    <t>abustillos@alsea.com.mx</t>
  </si>
  <si>
    <t>jmartinez@dominos.com.mx</t>
  </si>
  <si>
    <t>guillermo.pena@dominos.com.mx</t>
  </si>
  <si>
    <t>alberto.meneses@dominos.com.mx</t>
  </si>
  <si>
    <t>vhfloreso@dominos.com.mx</t>
  </si>
  <si>
    <t>5514544530</t>
  </si>
  <si>
    <t>5514544536</t>
  </si>
  <si>
    <t>5514544533</t>
  </si>
  <si>
    <t>5544380074</t>
  </si>
  <si>
    <t>5514544534</t>
  </si>
  <si>
    <t>Director Nacional de Operaciones</t>
  </si>
  <si>
    <t>Atizapán De Zaragoza</t>
  </si>
  <si>
    <t>Acapulco De Juárez</t>
  </si>
  <si>
    <t>Na</t>
  </si>
  <si>
    <t>Bahia De Banderas</t>
  </si>
  <si>
    <t>Tenango Del Río Blanco</t>
  </si>
  <si>
    <t>Av Circuito Centro Comercial No. 2251 Interior F526</t>
  </si>
  <si>
    <t>Francisco I. Madero Manzana 6 1/4, Col. Centro, CP 76000, Querétaro, Qro.</t>
  </si>
  <si>
    <t>Camino Real a San Jeronimo no. 1412 local 1</t>
  </si>
  <si>
    <t xml:space="preserve">Sm 78 Mz 02 Lt 01, Int. 6,7,8, y 9 </t>
  </si>
  <si>
    <t>Av. Gomez Morin N° 404 Interior B-6 y B-7</t>
  </si>
  <si>
    <t>Col. Villas de Aragon</t>
  </si>
  <si>
    <t>San Pedro Garza Garcia</t>
  </si>
  <si>
    <t>12381@dominos.com.mx</t>
  </si>
  <si>
    <t>José Octavio Sánchez Montes</t>
  </si>
  <si>
    <t>Plaza 404</t>
  </si>
  <si>
    <t>Chedraui Querétaro</t>
  </si>
  <si>
    <t>PRÓXIMAS APERTURAS 2020</t>
  </si>
  <si>
    <t>Tiendas totales 2020</t>
  </si>
  <si>
    <t>Alejandro Vargas Jains</t>
  </si>
  <si>
    <t xml:space="preserve">Blvd. Bernardo Quintana #4032,Interior SA2, </t>
  </si>
  <si>
    <t>12385@dominos.com.mx</t>
  </si>
  <si>
    <t>Jesus Amaury Castro Carcaño</t>
  </si>
  <si>
    <t>Ricardo Diaz Duran</t>
  </si>
  <si>
    <t>Nativa</t>
  </si>
  <si>
    <t>222 554 8672</t>
  </si>
  <si>
    <t>Av. Alfonso Reyes No. 901 Interior PB-31 y Bodega Remota</t>
  </si>
  <si>
    <t>Zona Valle Poniente</t>
  </si>
  <si>
    <t>12391@dominos.com.mx</t>
  </si>
  <si>
    <t>818110 6060</t>
  </si>
  <si>
    <t>Eduardo Gandara Torre</t>
  </si>
  <si>
    <t>Cosme Torrado Galvanduque</t>
  </si>
  <si>
    <t>Berenice Guia Romero</t>
  </si>
  <si>
    <t>Marco Antonio Gonzalez Delgadillo</t>
  </si>
  <si>
    <t>Luis Octavio Mondragon Alvarado</t>
  </si>
  <si>
    <t>Gerardo Dominguez Franco</t>
  </si>
  <si>
    <t>Yazmin Pelcastre Romualdo</t>
  </si>
  <si>
    <t>Felipe Herrera Lucas</t>
  </si>
  <si>
    <t>Ana Guadalupe Hernandez Ortiz</t>
  </si>
  <si>
    <t>Maritza Sosa Lucas</t>
  </si>
  <si>
    <t>Emanuel Valdes Alvarez</t>
  </si>
  <si>
    <t>Guillermo Gersain Morales Guarneros</t>
  </si>
  <si>
    <t>Ismael Moises Elizalde Gutierrez</t>
  </si>
  <si>
    <t>Benjamin Lopez Ortiz</t>
  </si>
  <si>
    <t>Magdalena Angeles Rojo</t>
  </si>
  <si>
    <t>Julio Cesar Enriquez Guarneros</t>
  </si>
  <si>
    <t>Jessica Rojo Alejandro</t>
  </si>
  <si>
    <t>Jose Rogelio Morales Miranda</t>
  </si>
  <si>
    <t>Andrea Sandoval Perez</t>
  </si>
  <si>
    <t>Josefina Torres Zuñiga</t>
  </si>
  <si>
    <t>Estephany Alcayde Reyes</t>
  </si>
  <si>
    <t>Lucero Cruz Nieto</t>
  </si>
  <si>
    <t>Ariel Ricardo Castillo Lucero</t>
  </si>
  <si>
    <t>Luis Edwin Marroquin Rodriguez</t>
  </si>
  <si>
    <t>Alma Laura Sisniega Andrade</t>
  </si>
  <si>
    <t>Abraham Rafael  Canedo Sanchez</t>
  </si>
  <si>
    <t>Luis Fernando Rivera Lopez</t>
  </si>
  <si>
    <t>Ana Cristal Garcia Reyes</t>
  </si>
  <si>
    <t>Jose Edgar Zamudio  Martinez</t>
  </si>
  <si>
    <t>Ericka Garcia Diaz</t>
  </si>
  <si>
    <t>Karla Huerta Hernandez</t>
  </si>
  <si>
    <t>Ruth Alicia Torres Ortega</t>
  </si>
  <si>
    <t>Lucia Galvan Martinez</t>
  </si>
  <si>
    <t>Diana Laura Aguilar Luna</t>
  </si>
  <si>
    <t>Joel Alexis Castro Peña</t>
  </si>
  <si>
    <t>Marco Antonio Gonzalez Ramirez</t>
  </si>
  <si>
    <t>Nancy De Los Angeles Calderon Martinez</t>
  </si>
  <si>
    <t>Maria Del Carmen Hernandez Silva</t>
  </si>
  <si>
    <t>Luis Alberto Gonzalez Vertiz</t>
  </si>
  <si>
    <t>Alan Gerardo Reyes Guerrero</t>
  </si>
  <si>
    <t>Cesar Ernesto Ortiz Velazquez</t>
  </si>
  <si>
    <t>Ruth Elizabeth Mendoza Garcia</t>
  </si>
  <si>
    <t>Hugo Rodriguez Flores</t>
  </si>
  <si>
    <t>Edith Berenice Belmont Serrano</t>
  </si>
  <si>
    <t>Kinverly Zuleica Garcia Hernandez</t>
  </si>
  <si>
    <t>Berenice Varela Gonzalez</t>
  </si>
  <si>
    <t>Jazmin Lopez Ayala</t>
  </si>
  <si>
    <t>Isabel Juarez Gutierrez</t>
  </si>
  <si>
    <t>Jorge Francisco Aguilera Calderon</t>
  </si>
  <si>
    <t>Fernando Morales Salgado</t>
  </si>
  <si>
    <t>Jose Carlos Garcia Jimenez</t>
  </si>
  <si>
    <t>Martha Laura Soto Galvan</t>
  </si>
  <si>
    <t>Jose Eloi Barragan Pacheco</t>
  </si>
  <si>
    <t>Salvador Castillo Posadas</t>
  </si>
  <si>
    <t>Oscar Eduardo Zuñiga Rojo</t>
  </si>
  <si>
    <t>Abraham Meza Hidalgo</t>
  </si>
  <si>
    <t>Hector Adan Arciniega Vargas</t>
  </si>
  <si>
    <t>Ana Luz Zendejas Gomez</t>
  </si>
  <si>
    <t>Estefania Rodriguez Chavez</t>
  </si>
  <si>
    <t>Araceli Piña Hernandez</t>
  </si>
  <si>
    <t>Juan Alberto Muñiz Garnica</t>
  </si>
  <si>
    <t>Enrique Cantero Martinez</t>
  </si>
  <si>
    <t>Andrea Melissa Torres Dominguez</t>
  </si>
  <si>
    <t>Luis Edgar Gutierrez Cruz</t>
  </si>
  <si>
    <t>Eduardo Alberto De Jesus Velazquez</t>
  </si>
  <si>
    <t>Giovanni Montalvo Galvan</t>
  </si>
  <si>
    <t>David Arturo Gonzalez De La Torre</t>
  </si>
  <si>
    <t>Alan Gonzalo Briones Gomez</t>
  </si>
  <si>
    <t>Carlos Enrique Juarez Garrido</t>
  </si>
  <si>
    <t>Rocio Marisol Jacobo Garcia</t>
  </si>
  <si>
    <t>Yanet Arenas Perez</t>
  </si>
  <si>
    <t>Jose Alfredo Gonzalez Bartolo</t>
  </si>
  <si>
    <t>Maria Del Carmen Lopez Bautista</t>
  </si>
  <si>
    <t>Maria Del Consuelo Nieto Nuñez</t>
  </si>
  <si>
    <t>Iran Esau Hernandez Martinez</t>
  </si>
  <si>
    <t>Ricardo Flores Bahena</t>
  </si>
  <si>
    <t>Marco Antonio Chavez Pinette</t>
  </si>
  <si>
    <t>Yanel Rubi Teutli Vazquez</t>
  </si>
  <si>
    <t>Orlando Flores Ordaz</t>
  </si>
  <si>
    <t>Yuliana Salazar Ventura</t>
  </si>
  <si>
    <t>David Eduardo Rayon Becerril</t>
  </si>
  <si>
    <t>Lourdes Alejandra Catalan Rios</t>
  </si>
  <si>
    <t>Maria Del Carmen Mateos Arizpe</t>
  </si>
  <si>
    <t>Jesus Hinojosa Avila</t>
  </si>
  <si>
    <t>Karla Itzel Sanchez Monroy</t>
  </si>
  <si>
    <t>Blanca Estela Hernandez Hernandez</t>
  </si>
  <si>
    <t>Fanny Violeta Arias Rodriguez</t>
  </si>
  <si>
    <t>Maritza Soriano Gudiño</t>
  </si>
  <si>
    <t>Juan  Cruz Angeles</t>
  </si>
  <si>
    <t>Nanci Monserrat Martinez Zuñiga</t>
  </si>
  <si>
    <t>Luis Gonzalo Aviña Morales</t>
  </si>
  <si>
    <t>Jazmin Cruz Romero</t>
  </si>
  <si>
    <t>Jorge Avila Juarez</t>
  </si>
  <si>
    <t>Dulce Yaniert Rodriguez Anaya</t>
  </si>
  <si>
    <t>Blanca Irma Balmori Lugo</t>
  </si>
  <si>
    <t>Jazmin Yeritzei Galarza Navarro</t>
  </si>
  <si>
    <t>Maria Del Carmen Montoya Vega</t>
  </si>
  <si>
    <t>Maria De Lourdes Tapia Garcia</t>
  </si>
  <si>
    <t>Rafael Sanchez Fuentes</t>
  </si>
  <si>
    <t>Maria De Lourdes Juarez Montes</t>
  </si>
  <si>
    <t>Jesus Ramos Sanchez</t>
  </si>
  <si>
    <t>Sandra Miroslava Cisneros Nuñez</t>
  </si>
  <si>
    <t>Hortensia Lopez Camacho</t>
  </si>
  <si>
    <t>Israel Bustos Gutierrez</t>
  </si>
  <si>
    <t>Mariana Ocampo Rendon</t>
  </si>
  <si>
    <t>Heriberto Rivera Alvarez</t>
  </si>
  <si>
    <t>Gustavo Perez Cuautle</t>
  </si>
  <si>
    <t>Manuel Aviles Galvan</t>
  </si>
  <si>
    <t>Irving Francisco Bahena Palacios</t>
  </si>
  <si>
    <t>Miguel Angel Alcantara Galindo</t>
  </si>
  <si>
    <t>Elaine Martinez Gomez</t>
  </si>
  <si>
    <t>Victor Hugo Leon Castillo</t>
  </si>
  <si>
    <t>Yaretzi Valdivia Cuevas</t>
  </si>
  <si>
    <t>Jorge Fernando Garcia Lopez</t>
  </si>
  <si>
    <t>Juan Jose Sanchez Camaño</t>
  </si>
  <si>
    <t>Gabriel Gomez Salgado</t>
  </si>
  <si>
    <t>Nancy Karina Susanna Ruiz Martinez</t>
  </si>
  <si>
    <t>Javier Flores Lopez</t>
  </si>
  <si>
    <t>Paulina Yisel Posadas Osorio</t>
  </si>
  <si>
    <t>Rodolfo Olmos Reyes</t>
  </si>
  <si>
    <t>Maria Teresa Cervantes Carrillo</t>
  </si>
  <si>
    <t>Guadalupe Anota Parral</t>
  </si>
  <si>
    <t>Claudia Aurelia Estrada Mendoza</t>
  </si>
  <si>
    <t>Victor Manuel Nolasco Orizaba</t>
  </si>
  <si>
    <t>Concepcion Patricia Mancilla Arenas</t>
  </si>
  <si>
    <t>Alejandra Palma Quiterio</t>
  </si>
  <si>
    <t>Diana Guzman Hernandez</t>
  </si>
  <si>
    <t>Jose Miguel Martinez Herrera</t>
  </si>
  <si>
    <t>Samuel Cañadero Cabrera</t>
  </si>
  <si>
    <t>Rosa Maria Aguilar Hernandez</t>
  </si>
  <si>
    <t>Yaneli Lopez Garcia</t>
  </si>
  <si>
    <t>Gimena Huitron Gonzalez</t>
  </si>
  <si>
    <t>Jacqueline Fischer Garcia</t>
  </si>
  <si>
    <t>Laura Estela Aguilar Sanchez</t>
  </si>
  <si>
    <t>Jorge Gerardo Bueno Garcia</t>
  </si>
  <si>
    <t>Daniel Alejandro Navarro Cruz</t>
  </si>
  <si>
    <t xml:space="preserve">Karla Cipactli Jimenez  Lopez </t>
  </si>
  <si>
    <t>Maria Del Carmen Mendez Gonzalez</t>
  </si>
  <si>
    <t>Norma Angelica Valdes Rico</t>
  </si>
  <si>
    <t>Isaac Jacob Nicolas Olivares</t>
  </si>
  <si>
    <t>Arduizur Palma Garcia</t>
  </si>
  <si>
    <t>Guadalupe Ramirez Torres</t>
  </si>
  <si>
    <t>Jose Santiago  Santos  Briseño</t>
  </si>
  <si>
    <t>Claudia Edith Cortes Jimenez</t>
  </si>
  <si>
    <t>Ana Cecilia Hernandez Ramirez</t>
  </si>
  <si>
    <t>Arlette Fabiola  Gutierrez Dominguez</t>
  </si>
  <si>
    <t>Yadira Rubi Cortes Avila</t>
  </si>
  <si>
    <t>Azalea Raquel Olvera  Ruiz</t>
  </si>
  <si>
    <t>Aurora Martinez Garcia</t>
  </si>
  <si>
    <t>Cristina Resendiz Luz</t>
  </si>
  <si>
    <t>Johany Ulises Gonzalez Escamilla</t>
  </si>
  <si>
    <t>Ricardo Gomora De Lucio</t>
  </si>
  <si>
    <t>Anadely Salma Rodriguez Ruiz</t>
  </si>
  <si>
    <t>Luis Alejandro Villegas Contreras</t>
  </si>
  <si>
    <t>Sandra Alvarez Zarazua</t>
  </si>
  <si>
    <t>Juan Pablo Garcia Ramirez</t>
  </si>
  <si>
    <t>Diana Elena Pinto Gutierrez</t>
  </si>
  <si>
    <t>Cirilo Cruz Mata</t>
  </si>
  <si>
    <t>Oscar Omar Torres Lita</t>
  </si>
  <si>
    <t>Angel Uriel Frias Bautista</t>
  </si>
  <si>
    <t>Daniel Flores Morales</t>
  </si>
  <si>
    <t>Vanessa Bautista Chavez</t>
  </si>
  <si>
    <t>Jonathan Sanchez Urrutia</t>
  </si>
  <si>
    <t>Anahi Jatziri Castro Santos</t>
  </si>
  <si>
    <t>Miguel Angel Santana Flores</t>
  </si>
  <si>
    <t>Luis Rocha Ramos</t>
  </si>
  <si>
    <t>Lucia Vazquez Rios</t>
  </si>
  <si>
    <t>Maribel Estevez Salas</t>
  </si>
  <si>
    <t>Perla Morales Alcocer</t>
  </si>
  <si>
    <t>Pamela Eustolia Valencia Javier</t>
  </si>
  <si>
    <t>Tomas Martinez Ochoa</t>
  </si>
  <si>
    <t>Diana Diaz Santana</t>
  </si>
  <si>
    <t>Kenia De La Cruz Ortiz</t>
  </si>
  <si>
    <t>Sandra Ocampo Gonzalez</t>
  </si>
  <si>
    <t xml:space="preserve">Tania Saraid  Carbajal Gonzalez </t>
  </si>
  <si>
    <t>Jesus Armando Fuentes Mendoza</t>
  </si>
  <si>
    <t>Dante Misael Ramirez Hernandez</t>
  </si>
  <si>
    <t>Brandon Alvarez Camacho</t>
  </si>
  <si>
    <t>Humberto Aparicio Estrada</t>
  </si>
  <si>
    <t>Diana Sosa Garcia</t>
  </si>
  <si>
    <t>Ricardo Hernandez  Carrillo</t>
  </si>
  <si>
    <t>Osvaldo Santiago Pacheco</t>
  </si>
  <si>
    <t>Miriam Araceli Gonzalez Trejo</t>
  </si>
  <si>
    <t>Juan Pablo Hoz Martinez</t>
  </si>
  <si>
    <t>Eduardo Bastida Galicia</t>
  </si>
  <si>
    <t>Carla Eloisa Escutia  Molina</t>
  </si>
  <si>
    <t>Erika Gonzalez Espindola</t>
  </si>
  <si>
    <t>Pedro Guerrero  Martinez</t>
  </si>
  <si>
    <t>Francisco Garcia Ruiz</t>
  </si>
  <si>
    <t>Jose Julio Perez Pineda</t>
  </si>
  <si>
    <t>Mayra Guadalupe Lopez  Gonzalez</t>
  </si>
  <si>
    <t>Fernando Olivares Ramirez</t>
  </si>
  <si>
    <t>Uriel Ortega Rincon</t>
  </si>
  <si>
    <t>Director Divisional de Operaciones</t>
  </si>
  <si>
    <t>FEBRERO_ 2020</t>
  </si>
  <si>
    <t>Dirección Divisional Norte</t>
  </si>
  <si>
    <t>Dirección Divisional Sur</t>
  </si>
  <si>
    <t>AL MES DE FEBRERO 2020</t>
  </si>
  <si>
    <t>Jafet Israel Rodriguez Iñiguez</t>
  </si>
  <si>
    <t>Luis Enrique Chavira Garcia</t>
  </si>
  <si>
    <t>Cinthia Lizeth Garcia Cruz</t>
  </si>
  <si>
    <t>Javier Iñiguez Garcia</t>
  </si>
  <si>
    <t>Christian Barron Rodriguez</t>
  </si>
  <si>
    <t>Yaneth Anakaren Rivas Flores</t>
  </si>
  <si>
    <t>Jose Concepción Cuevas Rodriguez</t>
  </si>
  <si>
    <t>Ana Karen Casas Garcia</t>
  </si>
  <si>
    <t>Jesus Arianna Cornelio Balcazar</t>
  </si>
  <si>
    <t>Nelly Patricia Medina Cabrera</t>
  </si>
  <si>
    <t>David Alfredo Coba Suaste</t>
  </si>
  <si>
    <t>Josue Guillermo Cruz Castro</t>
  </si>
  <si>
    <t>gustavo.gomez@alsea.com.mx</t>
  </si>
  <si>
    <t>FEBRERO 2020</t>
  </si>
  <si>
    <t>Gerente de sucursal</t>
  </si>
  <si>
    <t>Gerente de distrito</t>
  </si>
  <si>
    <t>Gerente Regional</t>
  </si>
  <si>
    <t>SUCURSAL</t>
  </si>
  <si>
    <t>Gerente de SUCURSAL</t>
  </si>
  <si>
    <t>Correo electronico regional</t>
  </si>
  <si>
    <t>FALTANTES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</si>
</sst>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20" x14ac:knownFonts="1">
    <font>
      <sz val="11"/>
      <color theme="1"/>
      <name val="Calibri"/>
      <family val="2"/>
      <scheme val="minor"/>
    </font>
    <font>
      <sz val="9"/>
      <name val="Times New Roman"/>
      <family val="1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Calibri Light"/>
      <family val="2"/>
      <scheme val="major"/>
    </font>
    <font>
      <b/>
      <sz val="9"/>
      <color rgb="FF002060"/>
      <name val="Calibri Light"/>
      <family val="2"/>
      <scheme val="major"/>
    </font>
    <font>
      <b/>
      <sz val="8"/>
      <color theme="1"/>
      <name val="Calibri Light"/>
      <family val="2"/>
      <scheme val="major"/>
    </font>
    <font>
      <b/>
      <sz val="9"/>
      <color theme="0"/>
      <name val="Calibri Light"/>
      <family val="2"/>
      <scheme val="major"/>
    </font>
    <font>
      <b/>
      <sz val="8"/>
      <color theme="0"/>
      <name val="Calibri Light"/>
      <family val="2"/>
      <scheme val="major"/>
    </font>
    <font>
      <sz val="11"/>
      <color theme="1"/>
      <name val="Calibri"/>
      <family val="2"/>
      <scheme val="minor"/>
    </font>
    <font>
      <sz val="10"/>
      <color theme="1"/>
      <name val="Times New Roman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Calibri Light"/>
      <family val="2"/>
      <scheme val="major"/>
    </font>
    <font>
      <b/>
      <sz val="9"/>
      <color rgb="FF002060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8"/>
      <color theme="0"/>
      <name val="Calibri Light"/>
      <family val="2"/>
      <scheme val="major"/>
    </font>
    <font>
      <sz val="8"/>
      <color theme="3"/>
      <name val="Calibri Light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575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8">
    <xf numFmtId="0" fontId="0" fillId="0" borderId="0"/>
    <xf numFmtId="0" fontId="1" fillId="0" borderId="0"/>
    <xf numFmtId="0" fontId="2" fillId="6" borderId="0" applyNumberFormat="0" applyFont="0" applyBorder="0" applyAlignment="0" applyProtection="0"/>
    <xf numFmtId="0" fontId="3" fillId="7" borderId="0" applyNumberFormat="0" applyFont="0" applyBorder="0" applyAlignment="0" applyProtection="0"/>
    <xf numFmtId="0" fontId="4" fillId="0" borderId="0"/>
    <xf numFmtId="0" fontId="5" fillId="0" borderId="0"/>
    <xf numFmtId="0" fontId="12" fillId="0" borderId="0"/>
    <xf numFmtId="0" fontId="11" fillId="0" borderId="0"/>
    <xf numFmtId="0" fontId="1" fillId="0" borderId="0"/>
    <xf numFmtId="9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13" fillId="0" borderId="0">
      <alignment vertical="center"/>
    </xf>
    <xf numFmtId="0" fontId="14" fillId="0" borderId="0" applyNumberForma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</cellStyleXfs>
  <cellXfs count="51">
    <xf numFmtId="0" fontId="0" fillId="0" borderId="0" xfId="0"/>
    <xf numFmtId="0" fontId="6" fillId="0" borderId="0" xfId="0" applyFont="1"/>
    <xf numFmtId="0" fontId="6" fillId="0" borderId="0" xfId="0" applyFont="1" applyAlignment="1">
      <alignment horizontal="right"/>
    </xf>
    <xf numFmtId="0" fontId="8" fillId="0" borderId="0" xfId="0" applyFont="1" applyAlignment="1">
      <alignment horizontal="left"/>
    </xf>
    <xf numFmtId="0" fontId="9" fillId="3" borderId="0" xfId="0" applyFont="1" applyFill="1"/>
    <xf numFmtId="0" fontId="10" fillId="3" borderId="0" xfId="0" applyFont="1" applyFill="1"/>
    <xf numFmtId="0" fontId="10" fillId="3" borderId="0" xfId="0" applyFont="1" applyFill="1" applyAlignment="1">
      <alignment horizontal="right"/>
    </xf>
    <xf numFmtId="0" fontId="10" fillId="2" borderId="2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0" fillId="2" borderId="0" xfId="0" applyFont="1" applyFill="1"/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right"/>
    </xf>
    <xf numFmtId="0" fontId="15" fillId="0" borderId="0" xfId="0" applyFont="1"/>
    <xf numFmtId="0" fontId="16" fillId="0" borderId="0" xfId="0" applyFont="1"/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right"/>
    </xf>
    <xf numFmtId="0" fontId="17" fillId="0" borderId="0" xfId="0" applyFont="1" applyAlignment="1">
      <alignment horizontal="left"/>
    </xf>
    <xf numFmtId="0" fontId="18" fillId="3" borderId="0" xfId="0" applyFont="1" applyFill="1"/>
    <xf numFmtId="0" fontId="18" fillId="3" borderId="0" xfId="0" applyFont="1" applyFill="1" applyAlignment="1">
      <alignment horizontal="center"/>
    </xf>
    <xf numFmtId="0" fontId="18" fillId="3" borderId="0" xfId="0" applyFont="1" applyFill="1" applyAlignment="1">
      <alignment horizontal="left"/>
    </xf>
    <xf numFmtId="0" fontId="18" fillId="3" borderId="0" xfId="0" applyFont="1" applyFill="1" applyAlignment="1">
      <alignment horizontal="right"/>
    </xf>
    <xf numFmtId="0" fontId="18" fillId="2" borderId="1" xfId="0" applyFont="1" applyFill="1" applyBorder="1" applyAlignment="1">
      <alignment horizontal="center" vertical="center" wrapText="1"/>
    </xf>
    <xf numFmtId="0" fontId="18" fillId="2" borderId="2" xfId="0" applyFont="1" applyFill="1" applyBorder="1" applyAlignment="1">
      <alignment horizontal="center" vertical="center" wrapText="1"/>
    </xf>
    <xf numFmtId="0" fontId="18" fillId="2" borderId="2" xfId="0" applyFont="1" applyFill="1" applyBorder="1" applyAlignment="1">
      <alignment horizontal="left" vertical="center" wrapText="1"/>
    </xf>
    <xf numFmtId="0" fontId="15" fillId="0" borderId="0" xfId="0" applyFont="1" applyFill="1" applyAlignment="1">
      <alignment horizontal="center"/>
    </xf>
    <xf numFmtId="0" fontId="15" fillId="0" borderId="0" xfId="0" applyFont="1" applyFill="1"/>
    <xf numFmtId="49" fontId="19" fillId="0" borderId="0" xfId="1" applyNumberFormat="1" applyFont="1" applyFill="1" applyBorder="1" applyAlignment="1">
      <alignment horizontal="center"/>
    </xf>
    <xf numFmtId="0" fontId="15" fillId="0" borderId="0" xfId="0" applyFont="1" applyFill="1" applyAlignment="1"/>
    <xf numFmtId="14" fontId="15" fillId="0" borderId="0" xfId="0" applyNumberFormat="1" applyFont="1" applyFill="1" applyAlignment="1">
      <alignment horizontal="center"/>
    </xf>
    <xf numFmtId="0" fontId="15" fillId="0" borderId="0" xfId="0" applyFont="1" applyFill="1" applyAlignment="1">
      <alignment horizontal="left"/>
    </xf>
    <xf numFmtId="49" fontId="19" fillId="0" borderId="0" xfId="1" applyNumberFormat="1" applyFont="1" applyFill="1" applyAlignment="1">
      <alignment horizontal="center"/>
    </xf>
    <xf numFmtId="0" fontId="15" fillId="0" borderId="0" xfId="0" applyFont="1" applyAlignment="1"/>
    <xf numFmtId="14" fontId="15" fillId="0" borderId="0" xfId="0" applyNumberFormat="1" applyFont="1" applyAlignment="1">
      <alignment horizontal="center"/>
    </xf>
    <xf numFmtId="49" fontId="19" fillId="4" borderId="0" xfId="1" applyNumberFormat="1" applyFont="1" applyFill="1" applyBorder="1" applyAlignment="1">
      <alignment horizontal="center"/>
    </xf>
    <xf numFmtId="0" fontId="18" fillId="5" borderId="3" xfId="0" applyFont="1" applyFill="1" applyBorder="1"/>
    <xf numFmtId="0" fontId="18" fillId="5" borderId="1" xfId="0" applyFont="1" applyFill="1" applyBorder="1" applyAlignment="1">
      <alignment horizontal="center" vertical="center" wrapText="1"/>
    </xf>
    <xf numFmtId="0" fontId="18" fillId="5" borderId="2" xfId="0" applyFont="1" applyFill="1" applyBorder="1" applyAlignment="1">
      <alignment horizontal="center" vertical="center" wrapText="1"/>
    </xf>
    <xf numFmtId="49" fontId="19" fillId="0" borderId="0" xfId="1" applyNumberFormat="1" applyFont="1" applyAlignment="1">
      <alignment horizontal="center"/>
    </xf>
    <xf numFmtId="0" fontId="7" fillId="0" borderId="0" xfId="0" applyFont="1" applyAlignment="1">
      <alignment horizontal="left" indent="8"/>
    </xf>
    <xf numFmtId="0" fontId="8" fillId="0" borderId="0" xfId="0" applyFont="1"/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vertical="center" wrapText="1"/>
    </xf>
    <xf numFmtId="0" fontId="10" fillId="3" borderId="1" xfId="0" applyFont="1" applyFill="1" applyBorder="1"/>
    <xf numFmtId="0" fontId="10" fillId="2" borderId="1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left" vertical="center" wrapText="1" indent="1"/>
    </xf>
    <xf numFmtId="0" fontId="9" fillId="3" borderId="0" xfId="0" applyFont="1" applyFill="1" applyAlignment="1">
      <alignment horizontal="left"/>
    </xf>
    <xf numFmtId="0" fontId="7" fillId="0" borderId="0" xfId="0" quotePrefix="1" applyFont="1" applyAlignment="1">
      <alignment horizontal="left" indent="8"/>
    </xf>
    <xf numFmtId="0" fontId="8" fillId="0" borderId="0" xfId="0" applyFont="1" applyAlignment="1">
      <alignment horizontal="left" vertical="center" wrapText="1" indent="1"/>
    </xf>
  </cellXfs>
  <cellStyles count="18">
    <cellStyle name="Hyperlink" xfId="12"/>
    <cellStyle name="Incorrecto 2" xfId="2"/>
    <cellStyle name="Moneda 2" xfId="10"/>
    <cellStyle name="Moneda 2 2" xfId="13"/>
    <cellStyle name="Moneda 2 2 2" xfId="16"/>
    <cellStyle name="Moneda 2 3" xfId="14"/>
    <cellStyle name="Moneda 2 3 2" xfId="17"/>
    <cellStyle name="Moneda 2 4" xfId="15"/>
    <cellStyle name="Neutral 2" xfId="3"/>
    <cellStyle name="Normal" xfId="0" builtinId="0"/>
    <cellStyle name="Normal 2" xfId="1"/>
    <cellStyle name="Normal 2 2" xfId="4"/>
    <cellStyle name="Normal 2 2 2" xfId="8"/>
    <cellStyle name="Normal 2 3" xfId="7"/>
    <cellStyle name="Normal 3" xfId="5"/>
    <cellStyle name="Normal 4" xfId="6"/>
    <cellStyle name="Normal 5" xfId="11"/>
    <cellStyle name="Porcentaje 2" xfId="9"/>
  </cellStyles>
  <dxfs count="0"/>
  <tableStyles count="0" defaultTableStyle="TableStyleMedium2" defaultPivotStyle="PivotStyleLight16"/>
  <colors>
    <mruColors>
      <color rgb="FFFF5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683572</xdr:colOff>
      <xdr:row>4</xdr:row>
      <xdr:rowOff>131122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FBF8A95D-0A3B-4275-B43B-AE24D5CC9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83572" cy="6835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17881</xdr:colOff>
      <xdr:row>0</xdr:row>
      <xdr:rowOff>103606</xdr:rowOff>
    </xdr:from>
    <xdr:to>
      <xdr:col>1</xdr:col>
      <xdr:colOff>15653</xdr:colOff>
      <xdr:row>5</xdr:row>
      <xdr:rowOff>34703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4A1D9B8B-1034-4380-BE25-BC79BD23F8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81" y="103606"/>
          <a:ext cx="683572" cy="6835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gustavo.gomez@alsea.com.mx" TargetMode="External"/><Relationship Id="rId13" Type="http://schemas.openxmlformats.org/officeDocument/2006/relationships/drawing" Target="../drawings/drawing2.xml"/><Relationship Id="rId3" Type="http://schemas.openxmlformats.org/officeDocument/2006/relationships/hyperlink" Target="mailto:12385@dominos.com.mx" TargetMode="External"/><Relationship Id="rId7" Type="http://schemas.openxmlformats.org/officeDocument/2006/relationships/hyperlink" Target="mailto:gustavo.gomez@alsea.com.mx" TargetMode="External"/><Relationship Id="rId12" Type="http://schemas.openxmlformats.org/officeDocument/2006/relationships/printerSettings" Target="../printerSettings/printerSettings1.bin"/><Relationship Id="rId2" Type="http://schemas.openxmlformats.org/officeDocument/2006/relationships/hyperlink" Target="mailto:11225@dominos.com.mx" TargetMode="External"/><Relationship Id="rId1" Type="http://schemas.openxmlformats.org/officeDocument/2006/relationships/hyperlink" Target="mailto:12413@dominos.com.mx" TargetMode="External"/><Relationship Id="rId6" Type="http://schemas.openxmlformats.org/officeDocument/2006/relationships/hyperlink" Target="mailto:gustavo.gomez@alsea.com.mx" TargetMode="External"/><Relationship Id="rId11" Type="http://schemas.openxmlformats.org/officeDocument/2006/relationships/hyperlink" Target="mailto:gustavo.gomez@alsea.com.mx" TargetMode="External"/><Relationship Id="rId5" Type="http://schemas.openxmlformats.org/officeDocument/2006/relationships/hyperlink" Target="mailto:gustavo.gomez@alsea.com.mx" TargetMode="External"/><Relationship Id="rId10" Type="http://schemas.openxmlformats.org/officeDocument/2006/relationships/hyperlink" Target="mailto:gustavo.gomez@alsea.com.mx" TargetMode="External"/><Relationship Id="rId4" Type="http://schemas.openxmlformats.org/officeDocument/2006/relationships/hyperlink" Target="mailto:12391@dominos.com.mx" TargetMode="External"/><Relationship Id="rId9" Type="http://schemas.openxmlformats.org/officeDocument/2006/relationships/hyperlink" Target="mailto:gustavo.gomez@alsea.com.mx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12385@dominos.com.mx" TargetMode="External"/><Relationship Id="rId2" Type="http://schemas.openxmlformats.org/officeDocument/2006/relationships/hyperlink" Target="mailto:12391@dominos.com.mx" TargetMode="External"/><Relationship Id="rId1" Type="http://schemas.openxmlformats.org/officeDocument/2006/relationships/hyperlink" Target="mailto:12413@dominos.com.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9"/>
  <sheetViews>
    <sheetView showGridLines="0" workbookViewId="0"/>
  </sheetViews>
  <sheetFormatPr baseColWidth="10" defaultColWidth="11.42578125" defaultRowHeight="11.25" x14ac:dyDescent="0.2"/>
  <cols>
    <col min="1" max="1" width="15" style="1" customWidth="1"/>
    <col min="2" max="2" width="13.28515625" style="1" bestFit="1" customWidth="1"/>
    <col min="3" max="3" width="24.42578125" style="1" bestFit="1" customWidth="1"/>
    <col min="4" max="5" width="9.85546875" style="1" customWidth="1"/>
    <col min="6" max="16384" width="11.42578125" style="1"/>
  </cols>
  <sheetData>
    <row r="1" spans="1:6" ht="7.5" customHeight="1" x14ac:dyDescent="0.2">
      <c r="C1" s="2"/>
    </row>
    <row r="2" spans="1:6" ht="12" x14ac:dyDescent="0.2">
      <c r="A2" s="40" t="s">
        <v>0</v>
      </c>
      <c r="C2" s="2"/>
    </row>
    <row r="3" spans="1:6" ht="12" x14ac:dyDescent="0.2">
      <c r="A3" s="49" t="s">
        <v>2464</v>
      </c>
      <c r="C3" s="2"/>
    </row>
    <row r="4" spans="1:6" ht="12" x14ac:dyDescent="0.2">
      <c r="A4" s="40" t="s">
        <v>1</v>
      </c>
      <c r="C4" s="2"/>
    </row>
    <row r="5" spans="1:6" x14ac:dyDescent="0.2">
      <c r="B5" s="3"/>
      <c r="C5" s="2"/>
    </row>
    <row r="6" spans="1:6" ht="12" x14ac:dyDescent="0.2">
      <c r="A6" s="4" t="s">
        <v>2</v>
      </c>
      <c r="B6" s="4"/>
      <c r="C6" s="5"/>
      <c r="D6" s="6"/>
      <c r="E6" s="5"/>
      <c r="F6" s="44"/>
    </row>
    <row r="7" spans="1:6" ht="23.25" customHeight="1" x14ac:dyDescent="0.2">
      <c r="A7" s="47" t="s">
        <v>2448</v>
      </c>
      <c r="B7" s="7" t="s">
        <v>3</v>
      </c>
      <c r="C7" s="7" t="s">
        <v>4</v>
      </c>
      <c r="D7" s="7" t="s">
        <v>5</v>
      </c>
      <c r="E7" s="7" t="s">
        <v>6</v>
      </c>
      <c r="F7" s="7" t="s">
        <v>7</v>
      </c>
    </row>
    <row r="8" spans="1:6" x14ac:dyDescent="0.2">
      <c r="A8" s="50" t="s">
        <v>2254</v>
      </c>
      <c r="B8" s="41" t="s">
        <v>8</v>
      </c>
      <c r="C8" s="1" t="s">
        <v>9</v>
      </c>
      <c r="D8" s="8">
        <f>COUNTIFS('Organigrama Febrero'!$I$8:$I$467,Resumen!D$7,'Organigrama Febrero'!$F$8:$F$467,Resumen!$B8)</f>
        <v>82</v>
      </c>
      <c r="E8" s="8">
        <f>COUNTIFS('Organigrama Febrero'!$I$8:$I$467,Resumen!E$7,'Organigrama Febrero'!$F$8:$F$467,Resumen!$B8)</f>
        <v>23</v>
      </c>
      <c r="F8" s="42">
        <f>SUM(D8:E8)</f>
        <v>105</v>
      </c>
    </row>
    <row r="9" spans="1:6" x14ac:dyDescent="0.2">
      <c r="A9" s="50"/>
      <c r="B9" s="41" t="s">
        <v>14</v>
      </c>
      <c r="C9" s="1" t="s">
        <v>15</v>
      </c>
      <c r="D9" s="8">
        <f>COUNTIFS('Organigrama Febrero'!$I$8:$I$467,Resumen!D$7,'Organigrama Febrero'!$F$8:$F$467,Resumen!$B9)</f>
        <v>79</v>
      </c>
      <c r="E9" s="8">
        <f>COUNTIFS('Organigrama Febrero'!$I$8:$I$467,Resumen!E$7,'Organigrama Febrero'!$F$8:$F$467,Resumen!$B9)</f>
        <v>7</v>
      </c>
      <c r="F9" s="42">
        <f t="shared" ref="F9:F15" si="0">SUM(D9:E9)</f>
        <v>86</v>
      </c>
    </row>
    <row r="10" spans="1:6" x14ac:dyDescent="0.2">
      <c r="A10" s="50"/>
      <c r="B10" s="41" t="s">
        <v>12</v>
      </c>
      <c r="C10" s="1" t="s">
        <v>13</v>
      </c>
      <c r="D10" s="8">
        <f>COUNTIFS('Organigrama Febrero'!$I$8:$I$467,Resumen!D$7,'Organigrama Febrero'!$F$8:$F$467,Resumen!$B10)</f>
        <v>41</v>
      </c>
      <c r="E10" s="8">
        <f>COUNTIFS('Organigrama Febrero'!$I$8:$I$467,Resumen!E$7,'Organigrama Febrero'!$F$8:$F$467,Resumen!$B10)</f>
        <v>4</v>
      </c>
      <c r="F10" s="42">
        <f t="shared" si="0"/>
        <v>45</v>
      </c>
    </row>
    <row r="11" spans="1:6" ht="8.25" customHeight="1" x14ac:dyDescent="0.2">
      <c r="A11" s="43"/>
      <c r="D11" s="8"/>
      <c r="E11" s="8"/>
      <c r="F11" s="8"/>
    </row>
    <row r="12" spans="1:6" ht="23.25" customHeight="1" x14ac:dyDescent="0.2">
      <c r="A12" s="47" t="s">
        <v>2449</v>
      </c>
      <c r="B12" s="7" t="s">
        <v>3</v>
      </c>
      <c r="C12" s="7" t="s">
        <v>4</v>
      </c>
      <c r="D12" s="7" t="s">
        <v>5</v>
      </c>
      <c r="E12" s="7" t="s">
        <v>6</v>
      </c>
      <c r="F12" s="7" t="s">
        <v>7</v>
      </c>
    </row>
    <row r="13" spans="1:6" x14ac:dyDescent="0.2">
      <c r="A13" s="50" t="s">
        <v>19</v>
      </c>
      <c r="B13" s="41" t="s">
        <v>10</v>
      </c>
      <c r="C13" s="1" t="s">
        <v>11</v>
      </c>
      <c r="D13" s="8">
        <f>COUNTIFS('Organigrama Febrero'!$I$8:$I$467,Resumen!D$7,'Organigrama Febrero'!$F$8:$F$467,Resumen!$B13)</f>
        <v>85</v>
      </c>
      <c r="E13" s="8">
        <f>COUNTIFS('Organigrama Febrero'!$I$8:$I$467,Resumen!E$7,'Organigrama Febrero'!$F$8:$F$467,Resumen!$B13)</f>
        <v>7</v>
      </c>
      <c r="F13" s="42">
        <f t="shared" si="0"/>
        <v>92</v>
      </c>
    </row>
    <row r="14" spans="1:6" x14ac:dyDescent="0.2">
      <c r="A14" s="50"/>
      <c r="B14" s="41" t="s">
        <v>16</v>
      </c>
      <c r="C14" s="1" t="s">
        <v>17</v>
      </c>
      <c r="D14" s="8">
        <f>COUNTIFS('Organigrama Febrero'!$I$8:$I$467,Resumen!D$7,'Organigrama Febrero'!$F$8:$F$467,Resumen!$B14)</f>
        <v>67</v>
      </c>
      <c r="E14" s="8">
        <f>COUNTIFS('Organigrama Febrero'!$I$8:$I$467,Resumen!E$7,'Organigrama Febrero'!$F$8:$F$467,Resumen!$B14)</f>
        <v>11</v>
      </c>
      <c r="F14" s="42">
        <f t="shared" si="0"/>
        <v>78</v>
      </c>
    </row>
    <row r="15" spans="1:6" x14ac:dyDescent="0.2">
      <c r="A15" s="50"/>
      <c r="B15" s="41" t="s">
        <v>18</v>
      </c>
      <c r="C15" s="1" t="s">
        <v>395</v>
      </c>
      <c r="D15" s="8">
        <f>COUNTIFS('Organigrama Febrero'!$I$8:$I$467,Resumen!D$7,'Organigrama Febrero'!$F$8:$F$467,Resumen!$B15)</f>
        <v>51</v>
      </c>
      <c r="E15" s="8">
        <f>COUNTIFS('Organigrama Febrero'!$I$8:$I$467,Resumen!E$7,'Organigrama Febrero'!$F$8:$F$467,Resumen!$B15)</f>
        <v>2</v>
      </c>
      <c r="F15" s="42">
        <f t="shared" si="0"/>
        <v>53</v>
      </c>
    </row>
    <row r="16" spans="1:6" ht="5.25" customHeight="1" x14ac:dyDescent="0.2">
      <c r="A16" s="43"/>
      <c r="D16" s="8"/>
      <c r="E16" s="8"/>
      <c r="F16" s="8"/>
    </row>
    <row r="17" spans="1:6" x14ac:dyDescent="0.2">
      <c r="A17" s="9"/>
      <c r="B17" s="9"/>
      <c r="C17" s="12" t="s">
        <v>2450</v>
      </c>
      <c r="D17" s="10">
        <f>D15+D14+D13+D10+D9+D8</f>
        <v>405</v>
      </c>
      <c r="E17" s="10">
        <f>E15+E14+E13+E10+E9+E8</f>
        <v>54</v>
      </c>
      <c r="F17" s="45">
        <f>F15+F14+F13+F10+F9+F8</f>
        <v>459</v>
      </c>
    </row>
    <row r="18" spans="1:6" ht="4.5" customHeight="1" x14ac:dyDescent="0.2"/>
    <row r="19" spans="1:6" ht="12" x14ac:dyDescent="0.2">
      <c r="A19" s="48" t="s">
        <v>20</v>
      </c>
      <c r="B19" s="4"/>
      <c r="C19" s="5"/>
      <c r="D19" s="6"/>
      <c r="E19" s="5"/>
      <c r="F19" s="44"/>
    </row>
    <row r="20" spans="1:6" x14ac:dyDescent="0.2">
      <c r="A20" s="7"/>
      <c r="B20" s="7" t="s">
        <v>3</v>
      </c>
      <c r="C20" s="7" t="s">
        <v>4</v>
      </c>
      <c r="D20" s="7" t="s">
        <v>5</v>
      </c>
      <c r="E20" s="7" t="s">
        <v>6</v>
      </c>
      <c r="F20" s="7" t="s">
        <v>7</v>
      </c>
    </row>
    <row r="21" spans="1:6" x14ac:dyDescent="0.2">
      <c r="B21" s="1" t="s">
        <v>8</v>
      </c>
      <c r="C21" s="1" t="s">
        <v>9</v>
      </c>
      <c r="D21" s="8">
        <f>COUNTIFS('Organigrama Febrero'!$I$471:$I$483,Resumen!D$20,'Organigrama Febrero'!$F$471:$F$483,Resumen!$B21)</f>
        <v>0</v>
      </c>
      <c r="E21" s="8">
        <f>COUNTIFS('Organigrama Febrero'!$I$471:$I$483,Resumen!E$20,'Organigrama Febrero'!$F$471:$F$483,Resumen!$B21)</f>
        <v>0</v>
      </c>
      <c r="F21" s="42">
        <f>SUM(D21:E21)</f>
        <v>0</v>
      </c>
    </row>
    <row r="22" spans="1:6" x14ac:dyDescent="0.2">
      <c r="B22" s="1" t="s">
        <v>14</v>
      </c>
      <c r="C22" s="1" t="s">
        <v>15</v>
      </c>
      <c r="D22" s="8">
        <f>COUNTIFS('Organigrama Febrero'!$I$471:$I$483,Resumen!D$20,'Organigrama Febrero'!$F$471:$F$483,Resumen!$B22)</f>
        <v>0</v>
      </c>
      <c r="E22" s="8">
        <f>COUNTIFS('Organigrama Febrero'!$I$471:$I$483,Resumen!E$20,'Organigrama Febrero'!$F$471:$F$483,Resumen!$B22)</f>
        <v>0</v>
      </c>
      <c r="F22" s="42">
        <f t="shared" ref="F22:F26" si="1">SUM(D22:E22)</f>
        <v>0</v>
      </c>
    </row>
    <row r="23" spans="1:6" x14ac:dyDescent="0.2">
      <c r="B23" s="1" t="s">
        <v>12</v>
      </c>
      <c r="C23" s="1" t="s">
        <v>13</v>
      </c>
      <c r="D23" s="8">
        <f>COUNTIFS('Organigrama Febrero'!$I$471:$I$483,Resumen!D$20,'Organigrama Febrero'!$F$471:$F$483,Resumen!$B23)</f>
        <v>0</v>
      </c>
      <c r="E23" s="8">
        <f>COUNTIFS('Organigrama Febrero'!$I$471:$I$483,Resumen!E$20,'Organigrama Febrero'!$F$471:$F$483,Resumen!$B23)</f>
        <v>0</v>
      </c>
      <c r="F23" s="42">
        <f t="shared" si="1"/>
        <v>0</v>
      </c>
    </row>
    <row r="24" spans="1:6" x14ac:dyDescent="0.2">
      <c r="B24" s="1" t="s">
        <v>10</v>
      </c>
      <c r="C24" s="1" t="s">
        <v>11</v>
      </c>
      <c r="D24" s="8">
        <f>COUNTIFS('Organigrama Febrero'!$I$471:$I$483,Resumen!D$20,'Organigrama Febrero'!$F$471:$F$483,Resumen!$B24)</f>
        <v>0</v>
      </c>
      <c r="E24" s="8">
        <f>COUNTIFS('Organigrama Febrero'!$I$471:$I$483,Resumen!E$20,'Organigrama Febrero'!$F$471:$F$483,Resumen!$B24)</f>
        <v>0</v>
      </c>
      <c r="F24" s="42">
        <f t="shared" si="1"/>
        <v>0</v>
      </c>
    </row>
    <row r="25" spans="1:6" x14ac:dyDescent="0.2">
      <c r="B25" s="1" t="s">
        <v>16</v>
      </c>
      <c r="C25" s="1" t="s">
        <v>17</v>
      </c>
      <c r="D25" s="8">
        <f>COUNTIFS('Organigrama Febrero'!$I$471:$I$483,Resumen!D$20,'Organigrama Febrero'!$F$471:$F$483,Resumen!$B25)</f>
        <v>0</v>
      </c>
      <c r="E25" s="8">
        <f>COUNTIFS('Organigrama Febrero'!$I$471:$I$483,Resumen!E$20,'Organigrama Febrero'!$F$471:$F$483,Resumen!$B25)</f>
        <v>0</v>
      </c>
      <c r="F25" s="42">
        <f t="shared" si="1"/>
        <v>0</v>
      </c>
    </row>
    <row r="26" spans="1:6" x14ac:dyDescent="0.2">
      <c r="B26" s="1" t="s">
        <v>18</v>
      </c>
      <c r="C26" s="1" t="s">
        <v>395</v>
      </c>
      <c r="D26" s="8">
        <f>COUNTIFS('Organigrama Febrero'!$I$471:$I$483,Resumen!D$20,'Organigrama Febrero'!$F$471:$F$483,Resumen!$B26)</f>
        <v>0</v>
      </c>
      <c r="E26" s="8">
        <f>COUNTIFS('Organigrama Febrero'!$I$471:$I$483,Resumen!E$20,'Organigrama Febrero'!$F$471:$F$483,Resumen!$B26)</f>
        <v>0</v>
      </c>
      <c r="F26" s="42">
        <f t="shared" si="1"/>
        <v>0</v>
      </c>
    </row>
    <row r="27" spans="1:6" x14ac:dyDescent="0.2">
      <c r="A27" s="9"/>
      <c r="B27" s="9"/>
      <c r="C27" s="12" t="s">
        <v>2240</v>
      </c>
      <c r="D27" s="10">
        <f>SUM(D21:D26)</f>
        <v>0</v>
      </c>
      <c r="E27" s="10">
        <f>SUM(E21:E26)</f>
        <v>0</v>
      </c>
      <c r="F27" s="45">
        <f>SUM(F21:F26)</f>
        <v>0</v>
      </c>
    </row>
    <row r="28" spans="1:6" ht="3.75" customHeight="1" x14ac:dyDescent="0.2"/>
    <row r="29" spans="1:6" ht="12" x14ac:dyDescent="0.2">
      <c r="A29" s="4" t="s">
        <v>2241</v>
      </c>
      <c r="B29" s="4"/>
      <c r="C29" s="5"/>
      <c r="D29" s="11">
        <f>D27+D17</f>
        <v>405</v>
      </c>
      <c r="E29" s="11">
        <f t="shared" ref="E29:F29" si="2">E27+E17</f>
        <v>54</v>
      </c>
      <c r="F29" s="46">
        <f t="shared" si="2"/>
        <v>459</v>
      </c>
    </row>
  </sheetData>
  <mergeCells count="2">
    <mergeCell ref="A8:A10"/>
    <mergeCell ref="A13:A1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G483"/>
  <sheetViews>
    <sheetView showGridLines="0" zoomScale="160" zoomScaleNormal="160" workbookViewId="0">
      <pane xSplit="6" ySplit="8" topLeftCell="R457" activePane="bottomRight" state="frozen"/>
      <selection pane="topRight" activeCell="D1" sqref="D1"/>
      <selection pane="bottomLeft" activeCell="A9" sqref="A9"/>
      <selection pane="bottomRight" activeCell="S9" sqref="S9:S467"/>
    </sheetView>
  </sheetViews>
  <sheetFormatPr baseColWidth="10" defaultColWidth="9.140625" defaultRowHeight="11.25" x14ac:dyDescent="0.2"/>
  <cols>
    <col min="1" max="2" width="10.28515625" style="13" customWidth="1"/>
    <col min="3" max="3" width="22.140625" style="13" customWidth="1"/>
    <col min="4" max="4" width="6.85546875" style="13" bestFit="1" customWidth="1"/>
    <col min="5" max="5" width="12.5703125" style="13" customWidth="1"/>
    <col min="6" max="6" width="11.140625" style="13" bestFit="1" customWidth="1"/>
    <col min="7" max="7" width="9.85546875" style="15" bestFit="1" customWidth="1"/>
    <col min="8" max="8" width="11.28515625" style="15" bestFit="1" customWidth="1"/>
    <col min="9" max="9" width="8.42578125" style="15" bestFit="1" customWidth="1"/>
    <col min="10" max="10" width="11.42578125" style="15" bestFit="1" customWidth="1"/>
    <col min="11" max="11" width="8" style="16" bestFit="1" customWidth="1"/>
    <col min="12" max="12" width="26.7109375" style="13" bestFit="1" customWidth="1"/>
    <col min="13" max="13" width="7.7109375" style="17" bestFit="1" customWidth="1"/>
    <col min="14" max="14" width="25" style="13" bestFit="1" customWidth="1"/>
    <col min="15" max="15" width="15.28515625" style="13" customWidth="1"/>
    <col min="16" max="16" width="27.5703125" style="13" bestFit="1" customWidth="1"/>
    <col min="17" max="17" width="24.42578125" style="13" bestFit="1" customWidth="1"/>
    <col min="18" max="18" width="14.42578125" style="13" bestFit="1" customWidth="1"/>
    <col min="19" max="19" width="24.42578125" style="13" bestFit="1" customWidth="1"/>
    <col min="20" max="20" width="19.5703125" style="13" bestFit="1" customWidth="1"/>
    <col min="21" max="21" width="15.85546875" style="13" bestFit="1" customWidth="1"/>
    <col min="22" max="22" width="35.5703125" style="13" customWidth="1"/>
    <col min="23" max="23" width="31" style="13" customWidth="1"/>
    <col min="24" max="24" width="21.28515625" style="13" bestFit="1" customWidth="1"/>
    <col min="25" max="25" width="6.140625" style="13" bestFit="1" customWidth="1"/>
    <col min="26" max="26" width="15.42578125" style="13" bestFit="1" customWidth="1"/>
    <col min="27" max="27" width="12.28515625" style="13" bestFit="1" customWidth="1"/>
    <col min="28" max="28" width="18.140625" style="13" bestFit="1" customWidth="1"/>
    <col min="29" max="29" width="13" style="17" customWidth="1"/>
    <col min="30" max="30" width="12.7109375" style="17" customWidth="1"/>
    <col min="31" max="16384" width="9.140625" style="13"/>
  </cols>
  <sheetData>
    <row r="2" spans="1:30" ht="12" x14ac:dyDescent="0.2">
      <c r="C2" s="14" t="s">
        <v>0</v>
      </c>
      <c r="D2" s="14"/>
      <c r="E2" s="14"/>
    </row>
    <row r="3" spans="1:30" ht="12" x14ac:dyDescent="0.2">
      <c r="C3" s="14" t="s">
        <v>2447</v>
      </c>
      <c r="D3" s="14"/>
      <c r="E3" s="14"/>
    </row>
    <row r="4" spans="1:30" ht="12" x14ac:dyDescent="0.2">
      <c r="C4" s="14" t="s">
        <v>21</v>
      </c>
      <c r="D4" s="14"/>
      <c r="E4" s="14"/>
    </row>
    <row r="5" spans="1:30" ht="12" x14ac:dyDescent="0.2">
      <c r="C5" s="18" t="str">
        <f>CONCATENATE(COUNTA(A9:A467)," ","Tiendas")</f>
        <v>459 Tiendas</v>
      </c>
      <c r="D5" s="18"/>
      <c r="E5" s="18"/>
    </row>
    <row r="6" spans="1:30" x14ac:dyDescent="0.2">
      <c r="G6" s="13"/>
      <c r="H6" s="13"/>
      <c r="I6" s="13"/>
      <c r="J6" s="13"/>
      <c r="M6" s="13"/>
      <c r="AC6" s="13"/>
      <c r="AD6" s="13"/>
    </row>
    <row r="7" spans="1:30" x14ac:dyDescent="0.2">
      <c r="A7" s="19" t="s">
        <v>22</v>
      </c>
      <c r="B7" s="19"/>
      <c r="C7" s="19"/>
      <c r="D7" s="19"/>
      <c r="E7" s="19"/>
      <c r="F7" s="19"/>
      <c r="G7" s="20"/>
      <c r="H7" s="20"/>
      <c r="I7" s="20"/>
      <c r="J7" s="20"/>
      <c r="K7" s="21"/>
      <c r="L7" s="19"/>
      <c r="M7" s="22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22"/>
      <c r="AD7" s="22"/>
    </row>
    <row r="8" spans="1:30" ht="22.5" x14ac:dyDescent="0.2">
      <c r="A8" s="23" t="s">
        <v>23</v>
      </c>
      <c r="B8" s="23"/>
      <c r="C8" s="24" t="s">
        <v>24</v>
      </c>
      <c r="D8" s="24" t="s">
        <v>25</v>
      </c>
      <c r="E8" s="24" t="s">
        <v>26</v>
      </c>
      <c r="F8" s="24" t="s">
        <v>27</v>
      </c>
      <c r="G8" s="24" t="s">
        <v>28</v>
      </c>
      <c r="H8" s="24" t="s">
        <v>29</v>
      </c>
      <c r="I8" s="24" t="s">
        <v>30</v>
      </c>
      <c r="J8" s="24" t="s">
        <v>31</v>
      </c>
      <c r="K8" s="25" t="s">
        <v>32</v>
      </c>
      <c r="L8" s="7" t="s">
        <v>33</v>
      </c>
      <c r="M8" s="24" t="s">
        <v>34</v>
      </c>
      <c r="N8" s="24" t="s">
        <v>35</v>
      </c>
      <c r="O8" s="24" t="s">
        <v>2163</v>
      </c>
      <c r="P8" s="24" t="s">
        <v>2164</v>
      </c>
      <c r="Q8" s="24" t="s">
        <v>36</v>
      </c>
      <c r="R8" s="24" t="s">
        <v>2210</v>
      </c>
      <c r="S8" s="24" t="s">
        <v>2212</v>
      </c>
      <c r="T8" s="24" t="s">
        <v>2446</v>
      </c>
      <c r="U8" s="24" t="s">
        <v>37</v>
      </c>
      <c r="V8" s="24" t="s">
        <v>38</v>
      </c>
      <c r="W8" s="24" t="s">
        <v>39</v>
      </c>
      <c r="X8" s="24" t="s">
        <v>40</v>
      </c>
      <c r="Y8" s="24" t="s">
        <v>41</v>
      </c>
      <c r="Z8" s="24" t="s">
        <v>42</v>
      </c>
      <c r="AA8" s="24" t="s">
        <v>43</v>
      </c>
      <c r="AB8" s="24" t="s">
        <v>44</v>
      </c>
      <c r="AC8" s="24" t="s">
        <v>45</v>
      </c>
      <c r="AD8" s="24" t="s">
        <v>46</v>
      </c>
    </row>
    <row r="9" spans="1:30" x14ac:dyDescent="0.2">
      <c r="A9" s="26">
        <v>11721</v>
      </c>
      <c r="B9" s="26">
        <f>VLOOKUP(A9,Hoja1!A:A,1,FALSE)</f>
        <v>11721</v>
      </c>
      <c r="C9" s="27" t="s">
        <v>47</v>
      </c>
      <c r="D9" s="28" t="s">
        <v>48</v>
      </c>
      <c r="E9" s="29" t="s">
        <v>8</v>
      </c>
      <c r="F9" s="29" t="s">
        <v>8</v>
      </c>
      <c r="G9" s="30">
        <v>11</v>
      </c>
      <c r="H9" s="26" t="s">
        <v>49</v>
      </c>
      <c r="I9" s="26" t="s">
        <v>50</v>
      </c>
      <c r="J9" s="26" t="s">
        <v>51</v>
      </c>
      <c r="K9" s="26">
        <v>111177</v>
      </c>
      <c r="L9" s="31" t="s">
        <v>2255</v>
      </c>
      <c r="M9" s="26">
        <v>3055</v>
      </c>
      <c r="N9" s="31" t="s">
        <v>52</v>
      </c>
      <c r="O9" s="26">
        <v>5541302272</v>
      </c>
      <c r="P9" s="29" t="s">
        <v>2165</v>
      </c>
      <c r="Q9" s="31" t="s">
        <v>9</v>
      </c>
      <c r="R9" s="26">
        <v>5551722172</v>
      </c>
      <c r="S9" s="31" t="s">
        <v>2213</v>
      </c>
      <c r="T9" s="26" t="s">
        <v>2254</v>
      </c>
      <c r="U9" s="31" t="s">
        <v>2253</v>
      </c>
      <c r="V9" s="31" t="s">
        <v>54</v>
      </c>
      <c r="W9" s="31" t="s">
        <v>55</v>
      </c>
      <c r="X9" s="31" t="s">
        <v>56</v>
      </c>
      <c r="Y9" s="31">
        <v>6760</v>
      </c>
      <c r="Z9" s="31" t="s">
        <v>57</v>
      </c>
      <c r="AA9" s="31" t="s">
        <v>57</v>
      </c>
      <c r="AB9" s="31" t="s">
        <v>58</v>
      </c>
      <c r="AC9" s="31">
        <v>5555848763</v>
      </c>
      <c r="AD9" s="31">
        <v>5555848763</v>
      </c>
    </row>
    <row r="10" spans="1:30" x14ac:dyDescent="0.2">
      <c r="A10" s="26">
        <v>11744</v>
      </c>
      <c r="B10" s="26">
        <f>VLOOKUP(A10,Hoja1!A:A,1,FALSE)</f>
        <v>11744</v>
      </c>
      <c r="C10" s="27" t="s">
        <v>61</v>
      </c>
      <c r="D10" s="28" t="s">
        <v>48</v>
      </c>
      <c r="E10" s="29" t="s">
        <v>8</v>
      </c>
      <c r="F10" s="29" t="s">
        <v>8</v>
      </c>
      <c r="G10" s="30">
        <v>35491</v>
      </c>
      <c r="H10" s="26" t="s">
        <v>49</v>
      </c>
      <c r="I10" s="26" t="s">
        <v>50</v>
      </c>
      <c r="J10" s="26" t="s">
        <v>51</v>
      </c>
      <c r="K10" s="26">
        <v>101514</v>
      </c>
      <c r="L10" s="31" t="s">
        <v>2256</v>
      </c>
      <c r="M10" s="26">
        <v>3055</v>
      </c>
      <c r="N10" s="31" t="s">
        <v>52</v>
      </c>
      <c r="O10" s="26">
        <v>5541302272</v>
      </c>
      <c r="P10" s="29" t="s">
        <v>2165</v>
      </c>
      <c r="Q10" s="31" t="s">
        <v>9</v>
      </c>
      <c r="R10" s="26">
        <v>5551722172</v>
      </c>
      <c r="S10" s="31" t="s">
        <v>2213</v>
      </c>
      <c r="T10" s="26" t="s">
        <v>2254</v>
      </c>
      <c r="U10" s="31" t="s">
        <v>2253</v>
      </c>
      <c r="V10" s="31" t="s">
        <v>62</v>
      </c>
      <c r="W10" s="31" t="s">
        <v>63</v>
      </c>
      <c r="X10" s="31" t="s">
        <v>64</v>
      </c>
      <c r="Y10" s="31">
        <v>6010</v>
      </c>
      <c r="Z10" s="31" t="s">
        <v>57</v>
      </c>
      <c r="AA10" s="31" t="s">
        <v>57</v>
      </c>
      <c r="AB10" s="31" t="s">
        <v>65</v>
      </c>
      <c r="AC10" s="31">
        <v>5554910556</v>
      </c>
      <c r="AD10" s="31">
        <v>5554910556</v>
      </c>
    </row>
    <row r="11" spans="1:30" x14ac:dyDescent="0.2">
      <c r="A11" s="26">
        <v>11751</v>
      </c>
      <c r="B11" s="26">
        <f>VLOOKUP(A11,Hoja1!A:A,1,FALSE)</f>
        <v>11751</v>
      </c>
      <c r="C11" s="27" t="s">
        <v>66</v>
      </c>
      <c r="D11" s="28" t="s">
        <v>48</v>
      </c>
      <c r="E11" s="29" t="s">
        <v>8</v>
      </c>
      <c r="F11" s="29" t="s">
        <v>8</v>
      </c>
      <c r="G11" s="30">
        <v>35559</v>
      </c>
      <c r="H11" s="26" t="s">
        <v>49</v>
      </c>
      <c r="I11" s="26" t="s">
        <v>50</v>
      </c>
      <c r="J11" s="26" t="s">
        <v>51</v>
      </c>
      <c r="K11" s="26">
        <v>101057</v>
      </c>
      <c r="L11" s="31" t="s">
        <v>2257</v>
      </c>
      <c r="M11" s="26">
        <v>3055</v>
      </c>
      <c r="N11" s="31" t="s">
        <v>52</v>
      </c>
      <c r="O11" s="26">
        <v>5541302272</v>
      </c>
      <c r="P11" s="29" t="s">
        <v>2165</v>
      </c>
      <c r="Q11" s="31" t="s">
        <v>9</v>
      </c>
      <c r="R11" s="26">
        <v>5551722172</v>
      </c>
      <c r="S11" s="31" t="s">
        <v>2213</v>
      </c>
      <c r="T11" s="26" t="s">
        <v>2254</v>
      </c>
      <c r="U11" s="31" t="s">
        <v>2253</v>
      </c>
      <c r="V11" s="31" t="s">
        <v>67</v>
      </c>
      <c r="W11" s="31" t="s">
        <v>68</v>
      </c>
      <c r="X11" s="31" t="s">
        <v>69</v>
      </c>
      <c r="Y11" s="31">
        <v>7200</v>
      </c>
      <c r="Z11" s="31" t="s">
        <v>57</v>
      </c>
      <c r="AA11" s="31" t="s">
        <v>57</v>
      </c>
      <c r="AB11" s="31" t="s">
        <v>70</v>
      </c>
      <c r="AC11" s="31">
        <v>5553568128</v>
      </c>
      <c r="AD11" s="31">
        <v>5553568128</v>
      </c>
    </row>
    <row r="12" spans="1:30" x14ac:dyDescent="0.2">
      <c r="A12" s="26">
        <v>11752</v>
      </c>
      <c r="B12" s="26">
        <f>VLOOKUP(A12,Hoja1!A:A,1,FALSE)</f>
        <v>11752</v>
      </c>
      <c r="C12" s="27" t="s">
        <v>71</v>
      </c>
      <c r="D12" s="28" t="s">
        <v>48</v>
      </c>
      <c r="E12" s="29" t="s">
        <v>8</v>
      </c>
      <c r="F12" s="29" t="s">
        <v>8</v>
      </c>
      <c r="G12" s="30">
        <v>34267</v>
      </c>
      <c r="H12" s="26" t="s">
        <v>49</v>
      </c>
      <c r="I12" s="26" t="s">
        <v>50</v>
      </c>
      <c r="J12" s="26" t="s">
        <v>72</v>
      </c>
      <c r="K12" s="26">
        <v>20595</v>
      </c>
      <c r="L12" s="31" t="s">
        <v>2258</v>
      </c>
      <c r="M12" s="26">
        <v>3055</v>
      </c>
      <c r="N12" s="31" t="s">
        <v>52</v>
      </c>
      <c r="O12" s="26">
        <v>5541302272</v>
      </c>
      <c r="P12" s="29" t="s">
        <v>2165</v>
      </c>
      <c r="Q12" s="31" t="s">
        <v>9</v>
      </c>
      <c r="R12" s="26">
        <v>5551722172</v>
      </c>
      <c r="S12" s="31" t="s">
        <v>2213</v>
      </c>
      <c r="T12" s="26" t="s">
        <v>2254</v>
      </c>
      <c r="U12" s="31" t="s">
        <v>2253</v>
      </c>
      <c r="V12" s="31" t="s">
        <v>73</v>
      </c>
      <c r="W12" s="31" t="s">
        <v>74</v>
      </c>
      <c r="X12" s="31" t="s">
        <v>75</v>
      </c>
      <c r="Y12" s="31">
        <v>4600</v>
      </c>
      <c r="Z12" s="31" t="s">
        <v>57</v>
      </c>
      <c r="AA12" s="31" t="s">
        <v>57</v>
      </c>
      <c r="AB12" s="31" t="s">
        <v>76</v>
      </c>
      <c r="AC12" s="31">
        <v>5541452062</v>
      </c>
      <c r="AD12" s="31">
        <v>5541452062</v>
      </c>
    </row>
    <row r="13" spans="1:30" x14ac:dyDescent="0.2">
      <c r="A13" s="26">
        <v>11755</v>
      </c>
      <c r="B13" s="26">
        <f>VLOOKUP(A13,Hoja1!A:A,1,FALSE)</f>
        <v>11755</v>
      </c>
      <c r="C13" s="27" t="s">
        <v>77</v>
      </c>
      <c r="D13" s="28" t="s">
        <v>48</v>
      </c>
      <c r="E13" s="29" t="s">
        <v>8</v>
      </c>
      <c r="F13" s="29" t="s">
        <v>8</v>
      </c>
      <c r="G13" s="30">
        <v>35647</v>
      </c>
      <c r="H13" s="26" t="s">
        <v>49</v>
      </c>
      <c r="I13" s="26" t="s">
        <v>50</v>
      </c>
      <c r="J13" s="26" t="s">
        <v>51</v>
      </c>
      <c r="K13" s="26">
        <v>10887</v>
      </c>
      <c r="L13" s="31" t="s">
        <v>2259</v>
      </c>
      <c r="M13" s="26">
        <v>3055</v>
      </c>
      <c r="N13" s="31" t="s">
        <v>52</v>
      </c>
      <c r="O13" s="26">
        <v>5541302272</v>
      </c>
      <c r="P13" s="29" t="s">
        <v>2165</v>
      </c>
      <c r="Q13" s="31" t="s">
        <v>9</v>
      </c>
      <c r="R13" s="26">
        <v>5551722172</v>
      </c>
      <c r="S13" s="31" t="s">
        <v>2213</v>
      </c>
      <c r="T13" s="26" t="s">
        <v>2254</v>
      </c>
      <c r="U13" s="31" t="s">
        <v>2253</v>
      </c>
      <c r="V13" s="31" t="s">
        <v>78</v>
      </c>
      <c r="W13" s="31" t="s">
        <v>79</v>
      </c>
      <c r="X13" s="31" t="s">
        <v>69</v>
      </c>
      <c r="Y13" s="31">
        <v>7360</v>
      </c>
      <c r="Z13" s="31" t="s">
        <v>57</v>
      </c>
      <c r="AA13" s="31" t="s">
        <v>57</v>
      </c>
      <c r="AB13" s="31" t="s">
        <v>80</v>
      </c>
      <c r="AC13" s="31">
        <v>5557502958</v>
      </c>
      <c r="AD13" s="31">
        <v>5557502958</v>
      </c>
    </row>
    <row r="14" spans="1:30" x14ac:dyDescent="0.2">
      <c r="A14" s="26">
        <v>11763</v>
      </c>
      <c r="B14" s="26">
        <f>VLOOKUP(A14,Hoja1!A:A,1,FALSE)</f>
        <v>11763</v>
      </c>
      <c r="C14" s="27" t="s">
        <v>81</v>
      </c>
      <c r="D14" s="28" t="s">
        <v>48</v>
      </c>
      <c r="E14" s="29" t="s">
        <v>8</v>
      </c>
      <c r="F14" s="29" t="s">
        <v>8</v>
      </c>
      <c r="G14" s="30">
        <v>35782</v>
      </c>
      <c r="H14" s="26" t="s">
        <v>49</v>
      </c>
      <c r="I14" s="26" t="s">
        <v>50</v>
      </c>
      <c r="J14" s="26" t="s">
        <v>51</v>
      </c>
      <c r="K14" s="26">
        <v>10298</v>
      </c>
      <c r="L14" s="31" t="s">
        <v>2260</v>
      </c>
      <c r="M14" s="26">
        <v>3055</v>
      </c>
      <c r="N14" s="31" t="s">
        <v>52</v>
      </c>
      <c r="O14" s="26">
        <v>5541302272</v>
      </c>
      <c r="P14" s="29" t="s">
        <v>2165</v>
      </c>
      <c r="Q14" s="31" t="s">
        <v>9</v>
      </c>
      <c r="R14" s="26">
        <v>5551722172</v>
      </c>
      <c r="S14" s="31" t="s">
        <v>2213</v>
      </c>
      <c r="T14" s="26" t="s">
        <v>2254</v>
      </c>
      <c r="U14" s="31" t="s">
        <v>2253</v>
      </c>
      <c r="V14" s="31" t="s">
        <v>82</v>
      </c>
      <c r="W14" s="31" t="s">
        <v>83</v>
      </c>
      <c r="X14" s="31" t="s">
        <v>84</v>
      </c>
      <c r="Y14" s="31">
        <v>11870</v>
      </c>
      <c r="Z14" s="31" t="s">
        <v>57</v>
      </c>
      <c r="AA14" s="31" t="s">
        <v>57</v>
      </c>
      <c r="AB14" s="31" t="s">
        <v>85</v>
      </c>
      <c r="AC14" s="31">
        <v>5552771785</v>
      </c>
      <c r="AD14" s="31">
        <v>5552771785</v>
      </c>
    </row>
    <row r="15" spans="1:30" x14ac:dyDescent="0.2">
      <c r="A15" s="26">
        <v>11776</v>
      </c>
      <c r="B15" s="26">
        <f>VLOOKUP(A15,Hoja1!A:A,1,FALSE)</f>
        <v>11776</v>
      </c>
      <c r="C15" s="27" t="s">
        <v>86</v>
      </c>
      <c r="D15" s="28" t="s">
        <v>48</v>
      </c>
      <c r="E15" s="29" t="s">
        <v>8</v>
      </c>
      <c r="F15" s="29" t="s">
        <v>8</v>
      </c>
      <c r="G15" s="30">
        <v>36129</v>
      </c>
      <c r="H15" s="26" t="s">
        <v>49</v>
      </c>
      <c r="I15" s="26" t="s">
        <v>50</v>
      </c>
      <c r="J15" s="26" t="s">
        <v>87</v>
      </c>
      <c r="K15" s="26" t="s">
        <v>395</v>
      </c>
      <c r="L15" s="31" t="s">
        <v>395</v>
      </c>
      <c r="M15" s="26">
        <v>3055</v>
      </c>
      <c r="N15" s="31" t="s">
        <v>52</v>
      </c>
      <c r="O15" s="26">
        <v>5541302272</v>
      </c>
      <c r="P15" s="29" t="s">
        <v>2165</v>
      </c>
      <c r="Q15" s="31" t="s">
        <v>9</v>
      </c>
      <c r="R15" s="26">
        <v>5551722172</v>
      </c>
      <c r="S15" s="31" t="s">
        <v>2213</v>
      </c>
      <c r="T15" s="26" t="s">
        <v>2254</v>
      </c>
      <c r="U15" s="31" t="s">
        <v>2253</v>
      </c>
      <c r="V15" s="31" t="s">
        <v>88</v>
      </c>
      <c r="W15" s="31" t="s">
        <v>89</v>
      </c>
      <c r="X15" s="31" t="s">
        <v>64</v>
      </c>
      <c r="Y15" s="31">
        <v>6010</v>
      </c>
      <c r="Z15" s="31" t="s">
        <v>57</v>
      </c>
      <c r="AA15" s="31" t="s">
        <v>57</v>
      </c>
      <c r="AB15" s="31" t="s">
        <v>90</v>
      </c>
      <c r="AC15" s="31">
        <v>5555424089</v>
      </c>
      <c r="AD15" s="31">
        <v>5555424089</v>
      </c>
    </row>
    <row r="16" spans="1:30" x14ac:dyDescent="0.2">
      <c r="A16" s="26">
        <v>11835</v>
      </c>
      <c r="B16" s="26">
        <f>VLOOKUP(A16,Hoja1!A:A,1,FALSE)</f>
        <v>11835</v>
      </c>
      <c r="C16" s="27" t="s">
        <v>92</v>
      </c>
      <c r="D16" s="28" t="s">
        <v>48</v>
      </c>
      <c r="E16" s="29" t="s">
        <v>8</v>
      </c>
      <c r="F16" s="29" t="s">
        <v>8</v>
      </c>
      <c r="G16" s="30">
        <v>37263</v>
      </c>
      <c r="H16" s="26" t="s">
        <v>49</v>
      </c>
      <c r="I16" s="26" t="s">
        <v>50</v>
      </c>
      <c r="J16" s="26" t="s">
        <v>51</v>
      </c>
      <c r="K16" s="26">
        <v>10990</v>
      </c>
      <c r="L16" s="31" t="s">
        <v>2261</v>
      </c>
      <c r="M16" s="26">
        <v>3055</v>
      </c>
      <c r="N16" s="31" t="s">
        <v>52</v>
      </c>
      <c r="O16" s="26">
        <v>5541302272</v>
      </c>
      <c r="P16" s="29" t="s">
        <v>2165</v>
      </c>
      <c r="Q16" s="31" t="s">
        <v>9</v>
      </c>
      <c r="R16" s="26">
        <v>5551722172</v>
      </c>
      <c r="S16" s="31" t="s">
        <v>2213</v>
      </c>
      <c r="T16" s="26" t="s">
        <v>2254</v>
      </c>
      <c r="U16" s="31" t="s">
        <v>2253</v>
      </c>
      <c r="V16" s="31" t="s">
        <v>93</v>
      </c>
      <c r="W16" s="31" t="s">
        <v>94</v>
      </c>
      <c r="X16" s="31" t="s">
        <v>64</v>
      </c>
      <c r="Y16" s="31">
        <v>15810</v>
      </c>
      <c r="Z16" s="31" t="s">
        <v>57</v>
      </c>
      <c r="AA16" s="31" t="s">
        <v>57</v>
      </c>
      <c r="AB16" s="31" t="s">
        <v>95</v>
      </c>
      <c r="AC16" s="31">
        <v>5557416028</v>
      </c>
      <c r="AD16" s="31">
        <v>5557416028</v>
      </c>
    </row>
    <row r="17" spans="1:30" x14ac:dyDescent="0.2">
      <c r="A17" s="26">
        <v>11849</v>
      </c>
      <c r="B17" s="26">
        <f>VLOOKUP(A17,Hoja1!A:A,1,FALSE)</f>
        <v>11849</v>
      </c>
      <c r="C17" s="27" t="s">
        <v>72</v>
      </c>
      <c r="D17" s="28" t="s">
        <v>48</v>
      </c>
      <c r="E17" s="29" t="s">
        <v>8</v>
      </c>
      <c r="F17" s="29" t="s">
        <v>8</v>
      </c>
      <c r="G17" s="30">
        <v>37659</v>
      </c>
      <c r="H17" s="26" t="s">
        <v>49</v>
      </c>
      <c r="I17" s="26" t="s">
        <v>50</v>
      </c>
      <c r="J17" s="26" t="s">
        <v>72</v>
      </c>
      <c r="K17" s="26" t="s">
        <v>395</v>
      </c>
      <c r="L17" s="31" t="s">
        <v>395</v>
      </c>
      <c r="M17" s="26">
        <v>3055</v>
      </c>
      <c r="N17" s="31" t="s">
        <v>52</v>
      </c>
      <c r="O17" s="26">
        <v>5541302272</v>
      </c>
      <c r="P17" s="29" t="s">
        <v>2165</v>
      </c>
      <c r="Q17" s="31" t="s">
        <v>9</v>
      </c>
      <c r="R17" s="26">
        <v>5551722172</v>
      </c>
      <c r="S17" s="31" t="s">
        <v>2213</v>
      </c>
      <c r="T17" s="26" t="s">
        <v>2254</v>
      </c>
      <c r="U17" s="31" t="s">
        <v>2253</v>
      </c>
      <c r="V17" s="31" t="s">
        <v>96</v>
      </c>
      <c r="W17" s="31" t="s">
        <v>97</v>
      </c>
      <c r="X17" s="31" t="s">
        <v>56</v>
      </c>
      <c r="Y17" s="31">
        <v>3520</v>
      </c>
      <c r="Z17" s="31" t="s">
        <v>57</v>
      </c>
      <c r="AA17" s="31" t="s">
        <v>57</v>
      </c>
      <c r="AB17" s="31" t="s">
        <v>98</v>
      </c>
      <c r="AC17" s="31">
        <v>5541452062</v>
      </c>
      <c r="AD17" s="31">
        <v>5541452062</v>
      </c>
    </row>
    <row r="18" spans="1:30" x14ac:dyDescent="0.2">
      <c r="A18" s="26">
        <v>11903</v>
      </c>
      <c r="B18" s="26">
        <f>VLOOKUP(A18,Hoja1!A:A,1,FALSE)</f>
        <v>11903</v>
      </c>
      <c r="C18" s="27" t="s">
        <v>100</v>
      </c>
      <c r="D18" s="28" t="s">
        <v>48</v>
      </c>
      <c r="E18" s="29" t="s">
        <v>8</v>
      </c>
      <c r="F18" s="29" t="s">
        <v>8</v>
      </c>
      <c r="G18" s="30">
        <v>39661</v>
      </c>
      <c r="H18" s="26" t="s">
        <v>49</v>
      </c>
      <c r="I18" s="26" t="s">
        <v>50</v>
      </c>
      <c r="J18" s="26" t="s">
        <v>51</v>
      </c>
      <c r="K18" s="26">
        <v>17851</v>
      </c>
      <c r="L18" s="31" t="s">
        <v>2262</v>
      </c>
      <c r="M18" s="26">
        <v>3055</v>
      </c>
      <c r="N18" s="31" t="s">
        <v>52</v>
      </c>
      <c r="O18" s="26">
        <v>5541302272</v>
      </c>
      <c r="P18" s="29" t="s">
        <v>2165</v>
      </c>
      <c r="Q18" s="31" t="s">
        <v>9</v>
      </c>
      <c r="R18" s="26">
        <v>5551722172</v>
      </c>
      <c r="S18" s="31" t="s">
        <v>2213</v>
      </c>
      <c r="T18" s="26" t="s">
        <v>2254</v>
      </c>
      <c r="U18" s="31" t="s">
        <v>2253</v>
      </c>
      <c r="V18" s="31" t="s">
        <v>101</v>
      </c>
      <c r="W18" s="31" t="s">
        <v>102</v>
      </c>
      <c r="X18" s="31" t="s">
        <v>84</v>
      </c>
      <c r="Y18" s="31">
        <v>53399</v>
      </c>
      <c r="Z18" s="31" t="s">
        <v>57</v>
      </c>
      <c r="AA18" s="31" t="s">
        <v>57</v>
      </c>
      <c r="AB18" s="31" t="s">
        <v>103</v>
      </c>
      <c r="AC18" s="31">
        <v>5553573865</v>
      </c>
      <c r="AD18" s="31">
        <v>5553573865</v>
      </c>
    </row>
    <row r="19" spans="1:30" x14ac:dyDescent="0.2">
      <c r="A19" s="26">
        <v>11914</v>
      </c>
      <c r="B19" s="26">
        <f>VLOOKUP(A19,Hoja1!A:A,1,FALSE)</f>
        <v>11914</v>
      </c>
      <c r="C19" s="27" t="s">
        <v>104</v>
      </c>
      <c r="D19" s="28" t="s">
        <v>48</v>
      </c>
      <c r="E19" s="29" t="s">
        <v>8</v>
      </c>
      <c r="F19" s="29" t="s">
        <v>8</v>
      </c>
      <c r="G19" s="30">
        <v>40182</v>
      </c>
      <c r="H19" s="26" t="s">
        <v>49</v>
      </c>
      <c r="I19" s="26" t="s">
        <v>50</v>
      </c>
      <c r="J19" s="26" t="s">
        <v>51</v>
      </c>
      <c r="K19" s="26">
        <v>12623</v>
      </c>
      <c r="L19" s="31" t="s">
        <v>2263</v>
      </c>
      <c r="M19" s="26">
        <v>3055</v>
      </c>
      <c r="N19" s="31" t="s">
        <v>52</v>
      </c>
      <c r="O19" s="26">
        <v>5541302272</v>
      </c>
      <c r="P19" s="29" t="s">
        <v>2165</v>
      </c>
      <c r="Q19" s="31" t="s">
        <v>9</v>
      </c>
      <c r="R19" s="26">
        <v>5551722172</v>
      </c>
      <c r="S19" s="31" t="s">
        <v>2213</v>
      </c>
      <c r="T19" s="26" t="s">
        <v>2254</v>
      </c>
      <c r="U19" s="31" t="s">
        <v>2253</v>
      </c>
      <c r="V19" s="31" t="s">
        <v>106</v>
      </c>
      <c r="W19" s="31" t="s">
        <v>107</v>
      </c>
      <c r="X19" s="31" t="s">
        <v>64</v>
      </c>
      <c r="Y19" s="31">
        <v>6720</v>
      </c>
      <c r="Z19" s="31" t="s">
        <v>57</v>
      </c>
      <c r="AA19" s="31" t="s">
        <v>57</v>
      </c>
      <c r="AB19" s="31" t="s">
        <v>108</v>
      </c>
      <c r="AC19" s="31">
        <v>5557095486</v>
      </c>
      <c r="AD19" s="31">
        <v>5557095486</v>
      </c>
    </row>
    <row r="20" spans="1:30" x14ac:dyDescent="0.2">
      <c r="A20" s="26">
        <v>11075</v>
      </c>
      <c r="B20" s="26">
        <f>VLOOKUP(A20,Hoja1!A:A,1,FALSE)</f>
        <v>11075</v>
      </c>
      <c r="C20" s="27" t="s">
        <v>109</v>
      </c>
      <c r="D20" s="28" t="s">
        <v>48</v>
      </c>
      <c r="E20" s="29" t="s">
        <v>8</v>
      </c>
      <c r="F20" s="29" t="s">
        <v>8</v>
      </c>
      <c r="G20" s="30">
        <v>33854</v>
      </c>
      <c r="H20" s="26" t="s">
        <v>49</v>
      </c>
      <c r="I20" s="26" t="s">
        <v>110</v>
      </c>
      <c r="J20" s="26" t="s">
        <v>110</v>
      </c>
      <c r="K20" s="26">
        <v>609</v>
      </c>
      <c r="L20" s="31" t="s">
        <v>2264</v>
      </c>
      <c r="M20" s="26">
        <v>3016</v>
      </c>
      <c r="N20" s="31" t="s">
        <v>111</v>
      </c>
      <c r="O20" s="26">
        <v>5569312148</v>
      </c>
      <c r="P20" s="29" t="s">
        <v>2166</v>
      </c>
      <c r="Q20" s="31" t="s">
        <v>9</v>
      </c>
      <c r="R20" s="26">
        <v>5551722172</v>
      </c>
      <c r="S20" s="31" t="s">
        <v>2213</v>
      </c>
      <c r="T20" s="26" t="s">
        <v>2254</v>
      </c>
      <c r="U20" s="31" t="s">
        <v>2253</v>
      </c>
      <c r="V20" s="31" t="s">
        <v>112</v>
      </c>
      <c r="W20" s="31" t="s">
        <v>113</v>
      </c>
      <c r="X20" s="31" t="s">
        <v>69</v>
      </c>
      <c r="Y20" s="31">
        <v>7300</v>
      </c>
      <c r="Z20" s="31" t="s">
        <v>57</v>
      </c>
      <c r="AA20" s="31" t="s">
        <v>57</v>
      </c>
      <c r="AB20" s="31" t="s">
        <v>114</v>
      </c>
      <c r="AC20" s="31">
        <v>5557548975</v>
      </c>
      <c r="AD20" s="31">
        <v>5557541919</v>
      </c>
    </row>
    <row r="21" spans="1:30" x14ac:dyDescent="0.2">
      <c r="A21" s="26">
        <v>11169</v>
      </c>
      <c r="B21" s="26">
        <f>VLOOKUP(A21,Hoja1!A:A,1,FALSE)</f>
        <v>11169</v>
      </c>
      <c r="C21" s="27" t="s">
        <v>115</v>
      </c>
      <c r="D21" s="28" t="s">
        <v>48</v>
      </c>
      <c r="E21" s="29" t="s">
        <v>8</v>
      </c>
      <c r="F21" s="29" t="s">
        <v>8</v>
      </c>
      <c r="G21" s="30">
        <v>35793</v>
      </c>
      <c r="H21" s="26" t="s">
        <v>49</v>
      </c>
      <c r="I21" s="26" t="s">
        <v>110</v>
      </c>
      <c r="J21" s="26" t="s">
        <v>110</v>
      </c>
      <c r="K21" s="26">
        <v>126795</v>
      </c>
      <c r="L21" s="31" t="s">
        <v>2265</v>
      </c>
      <c r="M21" s="26">
        <v>3016</v>
      </c>
      <c r="N21" s="31" t="s">
        <v>111</v>
      </c>
      <c r="O21" s="26">
        <v>5569312148</v>
      </c>
      <c r="P21" s="29" t="s">
        <v>2166</v>
      </c>
      <c r="Q21" s="31" t="s">
        <v>9</v>
      </c>
      <c r="R21" s="26">
        <v>5551722172</v>
      </c>
      <c r="S21" s="31" t="s">
        <v>2213</v>
      </c>
      <c r="T21" s="26" t="s">
        <v>2254</v>
      </c>
      <c r="U21" s="31" t="s">
        <v>2253</v>
      </c>
      <c r="V21" s="31" t="s">
        <v>116</v>
      </c>
      <c r="W21" s="31" t="s">
        <v>117</v>
      </c>
      <c r="X21" s="31" t="s">
        <v>99</v>
      </c>
      <c r="Y21" s="31">
        <v>56100</v>
      </c>
      <c r="Z21" s="31" t="s">
        <v>115</v>
      </c>
      <c r="AA21" s="31" t="s">
        <v>118</v>
      </c>
      <c r="AB21" s="31" t="s">
        <v>119</v>
      </c>
      <c r="AC21" s="31">
        <v>5959251371</v>
      </c>
      <c r="AD21" s="31">
        <v>5959553696</v>
      </c>
    </row>
    <row r="22" spans="1:30" x14ac:dyDescent="0.2">
      <c r="A22" s="26">
        <v>11196</v>
      </c>
      <c r="B22" s="26">
        <f>VLOOKUP(A22,Hoja1!A:A,1,FALSE)</f>
        <v>11196</v>
      </c>
      <c r="C22" s="27" t="s">
        <v>120</v>
      </c>
      <c r="D22" s="28" t="s">
        <v>48</v>
      </c>
      <c r="E22" s="29" t="s">
        <v>8</v>
      </c>
      <c r="F22" s="29" t="s">
        <v>8</v>
      </c>
      <c r="G22" s="30">
        <v>35973</v>
      </c>
      <c r="H22" s="26" t="s">
        <v>105</v>
      </c>
      <c r="I22" s="26" t="s">
        <v>110</v>
      </c>
      <c r="J22" s="26" t="s">
        <v>110</v>
      </c>
      <c r="K22" s="26" t="s">
        <v>395</v>
      </c>
      <c r="L22" s="31" t="s">
        <v>395</v>
      </c>
      <c r="M22" s="26">
        <v>3016</v>
      </c>
      <c r="N22" s="31" t="s">
        <v>111</v>
      </c>
      <c r="O22" s="26">
        <v>5569312148</v>
      </c>
      <c r="P22" s="29" t="s">
        <v>2166</v>
      </c>
      <c r="Q22" s="31" t="s">
        <v>9</v>
      </c>
      <c r="R22" s="26">
        <v>5551722172</v>
      </c>
      <c r="S22" s="31" t="s">
        <v>2213</v>
      </c>
      <c r="T22" s="26" t="s">
        <v>2254</v>
      </c>
      <c r="U22" s="31" t="s">
        <v>2253</v>
      </c>
      <c r="V22" s="31" t="s">
        <v>121</v>
      </c>
      <c r="W22" s="31" t="s">
        <v>120</v>
      </c>
      <c r="X22" s="31" t="s">
        <v>69</v>
      </c>
      <c r="Y22" s="31">
        <v>7330</v>
      </c>
      <c r="Z22" s="31" t="s">
        <v>57</v>
      </c>
      <c r="AA22" s="31" t="s">
        <v>57</v>
      </c>
      <c r="AB22" s="31" t="s">
        <v>122</v>
      </c>
      <c r="AC22" s="31">
        <v>5555864431</v>
      </c>
      <c r="AD22" s="31">
        <v>5555864433</v>
      </c>
    </row>
    <row r="23" spans="1:30" x14ac:dyDescent="0.2">
      <c r="A23" s="26">
        <v>11215</v>
      </c>
      <c r="B23" s="26">
        <f>VLOOKUP(A23,Hoja1!A:A,1,FALSE)</f>
        <v>11215</v>
      </c>
      <c r="C23" s="27" t="s">
        <v>123</v>
      </c>
      <c r="D23" s="28" t="s">
        <v>48</v>
      </c>
      <c r="E23" s="29" t="s">
        <v>8</v>
      </c>
      <c r="F23" s="29" t="s">
        <v>8</v>
      </c>
      <c r="G23" s="30">
        <v>36100</v>
      </c>
      <c r="H23" s="26" t="s">
        <v>49</v>
      </c>
      <c r="I23" s="26" t="s">
        <v>110</v>
      </c>
      <c r="J23" s="26" t="s">
        <v>110</v>
      </c>
      <c r="K23" s="26">
        <v>137176</v>
      </c>
      <c r="L23" s="31" t="s">
        <v>2266</v>
      </c>
      <c r="M23" s="26">
        <v>3016</v>
      </c>
      <c r="N23" s="31" t="s">
        <v>111</v>
      </c>
      <c r="O23" s="26">
        <v>5569312148</v>
      </c>
      <c r="P23" s="29" t="s">
        <v>2166</v>
      </c>
      <c r="Q23" s="31" t="s">
        <v>9</v>
      </c>
      <c r="R23" s="26">
        <v>5551722172</v>
      </c>
      <c r="S23" s="31" t="s">
        <v>2213</v>
      </c>
      <c r="T23" s="26" t="s">
        <v>2254</v>
      </c>
      <c r="U23" s="31" t="s">
        <v>2253</v>
      </c>
      <c r="V23" s="31" t="s">
        <v>124</v>
      </c>
      <c r="W23" s="31" t="s">
        <v>125</v>
      </c>
      <c r="X23" s="31" t="s">
        <v>126</v>
      </c>
      <c r="Y23" s="31">
        <v>55108</v>
      </c>
      <c r="Z23" s="31" t="s">
        <v>118</v>
      </c>
      <c r="AA23" s="31" t="s">
        <v>118</v>
      </c>
      <c r="AB23" s="31" t="s">
        <v>127</v>
      </c>
      <c r="AC23" s="31">
        <v>5557767755</v>
      </c>
      <c r="AD23" s="31">
        <v>5557767676</v>
      </c>
    </row>
    <row r="24" spans="1:30" x14ac:dyDescent="0.2">
      <c r="A24" s="26">
        <v>11259</v>
      </c>
      <c r="B24" s="26">
        <f>VLOOKUP(A24,Hoja1!A:A,1,FALSE)</f>
        <v>11259</v>
      </c>
      <c r="C24" s="27" t="s">
        <v>128</v>
      </c>
      <c r="D24" s="28" t="s">
        <v>48</v>
      </c>
      <c r="E24" s="29" t="s">
        <v>8</v>
      </c>
      <c r="F24" s="29" t="s">
        <v>8</v>
      </c>
      <c r="G24" s="30">
        <v>36486</v>
      </c>
      <c r="H24" s="26" t="s">
        <v>49</v>
      </c>
      <c r="I24" s="26" t="s">
        <v>110</v>
      </c>
      <c r="J24" s="26" t="s">
        <v>110</v>
      </c>
      <c r="K24" s="26">
        <v>28555</v>
      </c>
      <c r="L24" s="31" t="s">
        <v>2267</v>
      </c>
      <c r="M24" s="26">
        <v>3016</v>
      </c>
      <c r="N24" s="31" t="s">
        <v>111</v>
      </c>
      <c r="O24" s="26">
        <v>5569312148</v>
      </c>
      <c r="P24" s="29" t="s">
        <v>2166</v>
      </c>
      <c r="Q24" s="31" t="s">
        <v>9</v>
      </c>
      <c r="R24" s="26">
        <v>5551722172</v>
      </c>
      <c r="S24" s="31" t="s">
        <v>2213</v>
      </c>
      <c r="T24" s="26" t="s">
        <v>2254</v>
      </c>
      <c r="U24" s="31" t="s">
        <v>2253</v>
      </c>
      <c r="V24" s="31" t="s">
        <v>129</v>
      </c>
      <c r="W24" s="31" t="s">
        <v>130</v>
      </c>
      <c r="X24" s="31" t="s">
        <v>126</v>
      </c>
      <c r="Y24" s="31">
        <v>55070</v>
      </c>
      <c r="Z24" s="31" t="s">
        <v>57</v>
      </c>
      <c r="AA24" s="31" t="s">
        <v>57</v>
      </c>
      <c r="AB24" s="31" t="s">
        <v>131</v>
      </c>
      <c r="AC24" s="31">
        <v>5558377376</v>
      </c>
      <c r="AD24" s="31">
        <v>5558393030</v>
      </c>
    </row>
    <row r="25" spans="1:30" x14ac:dyDescent="0.2">
      <c r="A25" s="26">
        <v>11424</v>
      </c>
      <c r="B25" s="26">
        <f>VLOOKUP(A25,Hoja1!A:A,1,FALSE)</f>
        <v>11424</v>
      </c>
      <c r="C25" s="27" t="s">
        <v>132</v>
      </c>
      <c r="D25" s="28" t="s">
        <v>48</v>
      </c>
      <c r="E25" s="29" t="s">
        <v>8</v>
      </c>
      <c r="F25" s="29" t="s">
        <v>8</v>
      </c>
      <c r="G25" s="30">
        <v>37791</v>
      </c>
      <c r="H25" s="26" t="s">
        <v>49</v>
      </c>
      <c r="I25" s="26" t="s">
        <v>110</v>
      </c>
      <c r="J25" s="26" t="s">
        <v>110</v>
      </c>
      <c r="K25" s="26">
        <v>13026</v>
      </c>
      <c r="L25" s="31" t="s">
        <v>2268</v>
      </c>
      <c r="M25" s="26">
        <v>3016</v>
      </c>
      <c r="N25" s="31" t="s">
        <v>111</v>
      </c>
      <c r="O25" s="26">
        <v>5569312148</v>
      </c>
      <c r="P25" s="29" t="s">
        <v>2166</v>
      </c>
      <c r="Q25" s="31" t="s">
        <v>9</v>
      </c>
      <c r="R25" s="26">
        <v>5551722172</v>
      </c>
      <c r="S25" s="31" t="s">
        <v>2213</v>
      </c>
      <c r="T25" s="26" t="s">
        <v>2254</v>
      </c>
      <c r="U25" s="31" t="s">
        <v>2253</v>
      </c>
      <c r="V25" s="31" t="s">
        <v>133</v>
      </c>
      <c r="W25" s="31" t="s">
        <v>134</v>
      </c>
      <c r="X25" s="31" t="s">
        <v>126</v>
      </c>
      <c r="Y25" s="31">
        <v>55310</v>
      </c>
      <c r="Z25" s="31" t="s">
        <v>118</v>
      </c>
      <c r="AA25" s="31" t="s">
        <v>118</v>
      </c>
      <c r="AB25" s="31" t="s">
        <v>135</v>
      </c>
      <c r="AC25" s="31">
        <v>5557889022</v>
      </c>
      <c r="AD25" s="31">
        <v>5557914440</v>
      </c>
    </row>
    <row r="26" spans="1:30" x14ac:dyDescent="0.2">
      <c r="A26" s="26">
        <v>11442</v>
      </c>
      <c r="B26" s="26">
        <f>VLOOKUP(A26,Hoja1!A:A,1,FALSE)</f>
        <v>11442</v>
      </c>
      <c r="C26" s="27" t="s">
        <v>136</v>
      </c>
      <c r="D26" s="28" t="s">
        <v>48</v>
      </c>
      <c r="E26" s="29" t="s">
        <v>8</v>
      </c>
      <c r="F26" s="29" t="s">
        <v>8</v>
      </c>
      <c r="G26" s="30">
        <v>38194</v>
      </c>
      <c r="H26" s="26" t="s">
        <v>49</v>
      </c>
      <c r="I26" s="26" t="s">
        <v>110</v>
      </c>
      <c r="J26" s="26" t="s">
        <v>110</v>
      </c>
      <c r="K26" s="26">
        <v>4347</v>
      </c>
      <c r="L26" s="31" t="s">
        <v>2269</v>
      </c>
      <c r="M26" s="26">
        <v>3016</v>
      </c>
      <c r="N26" s="31" t="s">
        <v>111</v>
      </c>
      <c r="O26" s="26">
        <v>5569312148</v>
      </c>
      <c r="P26" s="29" t="s">
        <v>2166</v>
      </c>
      <c r="Q26" s="31" t="s">
        <v>9</v>
      </c>
      <c r="R26" s="26">
        <v>5551722172</v>
      </c>
      <c r="S26" s="31" t="s">
        <v>2213</v>
      </c>
      <c r="T26" s="26" t="s">
        <v>2254</v>
      </c>
      <c r="U26" s="31" t="s">
        <v>2253</v>
      </c>
      <c r="V26" s="31" t="s">
        <v>137</v>
      </c>
      <c r="W26" s="31" t="s">
        <v>138</v>
      </c>
      <c r="X26" s="31" t="s">
        <v>126</v>
      </c>
      <c r="Y26" s="31">
        <v>55120</v>
      </c>
      <c r="Z26" s="31" t="s">
        <v>118</v>
      </c>
      <c r="AA26" s="31" t="s">
        <v>118</v>
      </c>
      <c r="AB26" s="31" t="s">
        <v>139</v>
      </c>
      <c r="AC26" s="31">
        <v>5522330370</v>
      </c>
      <c r="AD26" s="31">
        <v>5522330404</v>
      </c>
    </row>
    <row r="27" spans="1:30" x14ac:dyDescent="0.2">
      <c r="A27" s="26">
        <v>11476</v>
      </c>
      <c r="B27" s="26">
        <f>VLOOKUP(A27,Hoja1!A:A,1,FALSE)</f>
        <v>11476</v>
      </c>
      <c r="C27" s="27" t="s">
        <v>140</v>
      </c>
      <c r="D27" s="28" t="s">
        <v>48</v>
      </c>
      <c r="E27" s="29" t="s">
        <v>8</v>
      </c>
      <c r="F27" s="29" t="s">
        <v>8</v>
      </c>
      <c r="G27" s="30">
        <v>38723</v>
      </c>
      <c r="H27" s="26" t="s">
        <v>49</v>
      </c>
      <c r="I27" s="26" t="s">
        <v>110</v>
      </c>
      <c r="J27" s="26" t="s">
        <v>110</v>
      </c>
      <c r="K27" s="26">
        <v>1652</v>
      </c>
      <c r="L27" s="31" t="s">
        <v>2270</v>
      </c>
      <c r="M27" s="26">
        <v>3016</v>
      </c>
      <c r="N27" s="31" t="s">
        <v>111</v>
      </c>
      <c r="O27" s="26">
        <v>5569312148</v>
      </c>
      <c r="P27" s="29" t="s">
        <v>2166</v>
      </c>
      <c r="Q27" s="31" t="s">
        <v>9</v>
      </c>
      <c r="R27" s="26">
        <v>5551722172</v>
      </c>
      <c r="S27" s="31" t="s">
        <v>2213</v>
      </c>
      <c r="T27" s="26" t="s">
        <v>2254</v>
      </c>
      <c r="U27" s="31" t="s">
        <v>2253</v>
      </c>
      <c r="V27" s="31" t="s">
        <v>141</v>
      </c>
      <c r="W27" s="31" t="s">
        <v>142</v>
      </c>
      <c r="X27" s="31" t="s">
        <v>126</v>
      </c>
      <c r="Y27" s="31">
        <v>55070</v>
      </c>
      <c r="Z27" s="31" t="s">
        <v>118</v>
      </c>
      <c r="AA27" s="31" t="s">
        <v>118</v>
      </c>
      <c r="AB27" s="31" t="s">
        <v>143</v>
      </c>
      <c r="AC27" s="31">
        <v>5524864352</v>
      </c>
      <c r="AD27" s="31">
        <v>5524864323</v>
      </c>
    </row>
    <row r="28" spans="1:30" x14ac:dyDescent="0.2">
      <c r="A28" s="26">
        <v>11566</v>
      </c>
      <c r="B28" s="26">
        <f>VLOOKUP(A28,Hoja1!A:A,1,FALSE)</f>
        <v>11566</v>
      </c>
      <c r="C28" s="27" t="s">
        <v>144</v>
      </c>
      <c r="D28" s="28" t="s">
        <v>48</v>
      </c>
      <c r="E28" s="29" t="s">
        <v>8</v>
      </c>
      <c r="F28" s="29" t="s">
        <v>8</v>
      </c>
      <c r="G28" s="30">
        <v>41986</v>
      </c>
      <c r="H28" s="26" t="s">
        <v>49</v>
      </c>
      <c r="I28" s="26" t="s">
        <v>110</v>
      </c>
      <c r="J28" s="26" t="s">
        <v>110</v>
      </c>
      <c r="K28" s="26">
        <v>1020</v>
      </c>
      <c r="L28" s="31" t="s">
        <v>2271</v>
      </c>
      <c r="M28" s="26">
        <v>3016</v>
      </c>
      <c r="N28" s="31" t="s">
        <v>111</v>
      </c>
      <c r="O28" s="26">
        <v>5569312148</v>
      </c>
      <c r="P28" s="29" t="s">
        <v>2166</v>
      </c>
      <c r="Q28" s="31" t="s">
        <v>9</v>
      </c>
      <c r="R28" s="26">
        <v>5551722172</v>
      </c>
      <c r="S28" s="31" t="s">
        <v>2213</v>
      </c>
      <c r="T28" s="26" t="s">
        <v>2254</v>
      </c>
      <c r="U28" s="31" t="s">
        <v>2253</v>
      </c>
      <c r="V28" s="31" t="s">
        <v>145</v>
      </c>
      <c r="W28" s="31" t="s">
        <v>146</v>
      </c>
      <c r="X28" s="31" t="s">
        <v>126</v>
      </c>
      <c r="Y28" s="31">
        <v>55064</v>
      </c>
      <c r="Z28" s="31" t="s">
        <v>118</v>
      </c>
      <c r="AA28" s="31" t="s">
        <v>118</v>
      </c>
      <c r="AB28" s="31" t="s">
        <v>147</v>
      </c>
      <c r="AC28" s="31">
        <v>5529561140</v>
      </c>
      <c r="AD28" s="31">
        <v>5529561140</v>
      </c>
    </row>
    <row r="29" spans="1:30" x14ac:dyDescent="0.2">
      <c r="A29" s="26">
        <v>11631</v>
      </c>
      <c r="B29" s="26">
        <f>VLOOKUP(A29,Hoja1!A:A,1,FALSE)</f>
        <v>11631</v>
      </c>
      <c r="C29" s="27" t="s">
        <v>148</v>
      </c>
      <c r="D29" s="28" t="s">
        <v>48</v>
      </c>
      <c r="E29" s="29" t="s">
        <v>8</v>
      </c>
      <c r="F29" s="29" t="s">
        <v>8</v>
      </c>
      <c r="G29" s="30">
        <v>42936</v>
      </c>
      <c r="H29" s="26" t="s">
        <v>49</v>
      </c>
      <c r="I29" s="26" t="s">
        <v>110</v>
      </c>
      <c r="J29" s="26" t="s">
        <v>110</v>
      </c>
      <c r="K29" s="26">
        <v>699</v>
      </c>
      <c r="L29" s="31" t="s">
        <v>2272</v>
      </c>
      <c r="M29" s="26">
        <v>3016</v>
      </c>
      <c r="N29" s="31" t="s">
        <v>111</v>
      </c>
      <c r="O29" s="26">
        <v>5569312148</v>
      </c>
      <c r="P29" s="29" t="s">
        <v>2166</v>
      </c>
      <c r="Q29" s="31" t="s">
        <v>9</v>
      </c>
      <c r="R29" s="26">
        <v>5551722172</v>
      </c>
      <c r="S29" s="31" t="s">
        <v>2213</v>
      </c>
      <c r="T29" s="26" t="s">
        <v>2254</v>
      </c>
      <c r="U29" s="31" t="s">
        <v>2253</v>
      </c>
      <c r="V29" s="31" t="s">
        <v>149</v>
      </c>
      <c r="W29" s="31" t="s">
        <v>150</v>
      </c>
      <c r="X29" s="31" t="s">
        <v>99</v>
      </c>
      <c r="Y29" s="31">
        <v>56120</v>
      </c>
      <c r="Z29" s="31" t="s">
        <v>115</v>
      </c>
      <c r="AA29" s="31" t="s">
        <v>118</v>
      </c>
      <c r="AB29" s="31" t="s">
        <v>151</v>
      </c>
      <c r="AC29" s="31">
        <v>5959250460</v>
      </c>
      <c r="AD29" s="31">
        <v>5959551775</v>
      </c>
    </row>
    <row r="30" spans="1:30" x14ac:dyDescent="0.2">
      <c r="A30" s="26">
        <v>11869</v>
      </c>
      <c r="B30" s="26">
        <f>VLOOKUP(A30,Hoja1!A:A,1,FALSE)</f>
        <v>11869</v>
      </c>
      <c r="C30" s="27" t="s">
        <v>152</v>
      </c>
      <c r="D30" s="28" t="s">
        <v>48</v>
      </c>
      <c r="E30" s="29" t="s">
        <v>8</v>
      </c>
      <c r="F30" s="29" t="s">
        <v>8</v>
      </c>
      <c r="G30" s="30">
        <v>38682</v>
      </c>
      <c r="H30" s="26" t="s">
        <v>49</v>
      </c>
      <c r="I30" s="26" t="s">
        <v>50</v>
      </c>
      <c r="J30" s="26" t="s">
        <v>153</v>
      </c>
      <c r="K30" s="26">
        <v>27588</v>
      </c>
      <c r="L30" s="31" t="s">
        <v>2273</v>
      </c>
      <c r="M30" s="26">
        <v>3016</v>
      </c>
      <c r="N30" s="31" t="s">
        <v>111</v>
      </c>
      <c r="O30" s="26">
        <v>5569312148</v>
      </c>
      <c r="P30" s="29" t="s">
        <v>2166</v>
      </c>
      <c r="Q30" s="31" t="s">
        <v>9</v>
      </c>
      <c r="R30" s="26">
        <v>5551722172</v>
      </c>
      <c r="S30" s="31" t="s">
        <v>2213</v>
      </c>
      <c r="T30" s="26" t="s">
        <v>2254</v>
      </c>
      <c r="U30" s="31" t="s">
        <v>2253</v>
      </c>
      <c r="V30" s="31" t="s">
        <v>154</v>
      </c>
      <c r="W30" s="31" t="s">
        <v>155</v>
      </c>
      <c r="X30" s="31" t="s">
        <v>126</v>
      </c>
      <c r="Y30" s="31">
        <v>55076</v>
      </c>
      <c r="Z30" s="31" t="s">
        <v>118</v>
      </c>
      <c r="AA30" s="31" t="s">
        <v>118</v>
      </c>
      <c r="AB30" s="31" t="s">
        <v>156</v>
      </c>
      <c r="AC30" s="31">
        <v>5524864278</v>
      </c>
      <c r="AD30" s="31">
        <v>5524864278</v>
      </c>
    </row>
    <row r="31" spans="1:30" x14ac:dyDescent="0.2">
      <c r="A31" s="26">
        <v>11001</v>
      </c>
      <c r="B31" s="26">
        <f>VLOOKUP(A31,Hoja1!A:A,1,FALSE)</f>
        <v>11001</v>
      </c>
      <c r="C31" s="27" t="s">
        <v>157</v>
      </c>
      <c r="D31" s="28" t="s">
        <v>48</v>
      </c>
      <c r="E31" s="29" t="s">
        <v>8</v>
      </c>
      <c r="F31" s="29" t="s">
        <v>8</v>
      </c>
      <c r="G31" s="30">
        <v>32825</v>
      </c>
      <c r="H31" s="26" t="s">
        <v>49</v>
      </c>
      <c r="I31" s="26" t="s">
        <v>110</v>
      </c>
      <c r="J31" s="26" t="s">
        <v>110</v>
      </c>
      <c r="K31" s="26">
        <v>14988</v>
      </c>
      <c r="L31" s="31" t="s">
        <v>2274</v>
      </c>
      <c r="M31" s="26">
        <v>5489</v>
      </c>
      <c r="N31" s="31" t="s">
        <v>158</v>
      </c>
      <c r="O31" s="26">
        <v>5580305487</v>
      </c>
      <c r="P31" s="29" t="s">
        <v>2167</v>
      </c>
      <c r="Q31" s="31" t="s">
        <v>9</v>
      </c>
      <c r="R31" s="26">
        <v>5551722172</v>
      </c>
      <c r="S31" s="31" t="s">
        <v>2213</v>
      </c>
      <c r="T31" s="26" t="s">
        <v>2254</v>
      </c>
      <c r="U31" s="31" t="s">
        <v>2253</v>
      </c>
      <c r="V31" s="31" t="s">
        <v>159</v>
      </c>
      <c r="W31" s="31" t="s">
        <v>160</v>
      </c>
      <c r="X31" s="31" t="s">
        <v>161</v>
      </c>
      <c r="Y31" s="31">
        <v>53950</v>
      </c>
      <c r="Z31" s="31" t="s">
        <v>118</v>
      </c>
      <c r="AA31" s="31" t="s">
        <v>118</v>
      </c>
      <c r="AB31" s="31" t="s">
        <v>162</v>
      </c>
      <c r="AC31" s="31">
        <v>5552944099</v>
      </c>
      <c r="AD31" s="31">
        <v>5552948181</v>
      </c>
    </row>
    <row r="32" spans="1:30" x14ac:dyDescent="0.2">
      <c r="A32" s="26">
        <v>11003</v>
      </c>
      <c r="B32" s="26">
        <f>VLOOKUP(A32,Hoja1!A:A,1,FALSE)</f>
        <v>11003</v>
      </c>
      <c r="C32" s="27" t="s">
        <v>163</v>
      </c>
      <c r="D32" s="28" t="s">
        <v>48</v>
      </c>
      <c r="E32" s="29" t="s">
        <v>8</v>
      </c>
      <c r="F32" s="29" t="s">
        <v>8</v>
      </c>
      <c r="G32" s="30">
        <v>33035</v>
      </c>
      <c r="H32" s="26" t="s">
        <v>49</v>
      </c>
      <c r="I32" s="26" t="s">
        <v>110</v>
      </c>
      <c r="J32" s="26" t="s">
        <v>110</v>
      </c>
      <c r="K32" s="26">
        <v>18380</v>
      </c>
      <c r="L32" s="31" t="s">
        <v>2275</v>
      </c>
      <c r="M32" s="26">
        <v>5489</v>
      </c>
      <c r="N32" s="31" t="s">
        <v>158</v>
      </c>
      <c r="O32" s="26">
        <v>5580305487</v>
      </c>
      <c r="P32" s="29" t="s">
        <v>2167</v>
      </c>
      <c r="Q32" s="31" t="s">
        <v>9</v>
      </c>
      <c r="R32" s="26">
        <v>5551722172</v>
      </c>
      <c r="S32" s="31" t="s">
        <v>2213</v>
      </c>
      <c r="T32" s="26" t="s">
        <v>2254</v>
      </c>
      <c r="U32" s="31" t="s">
        <v>2253</v>
      </c>
      <c r="V32" s="31" t="s">
        <v>164</v>
      </c>
      <c r="W32" s="31" t="s">
        <v>163</v>
      </c>
      <c r="X32" s="31" t="s">
        <v>84</v>
      </c>
      <c r="Y32" s="31">
        <v>11660</v>
      </c>
      <c r="Z32" s="31" t="s">
        <v>57</v>
      </c>
      <c r="AA32" s="31" t="s">
        <v>57</v>
      </c>
      <c r="AB32" s="31" t="s">
        <v>165</v>
      </c>
      <c r="AC32" s="31">
        <v>5568453300</v>
      </c>
      <c r="AD32" s="31">
        <v>5555579123</v>
      </c>
    </row>
    <row r="33" spans="1:30" x14ac:dyDescent="0.2">
      <c r="A33" s="26">
        <v>11011</v>
      </c>
      <c r="B33" s="26">
        <f>VLOOKUP(A33,Hoja1!A:A,1,FALSE)</f>
        <v>11011</v>
      </c>
      <c r="C33" s="27" t="s">
        <v>166</v>
      </c>
      <c r="D33" s="28" t="s">
        <v>48</v>
      </c>
      <c r="E33" s="29" t="s">
        <v>8</v>
      </c>
      <c r="F33" s="29" t="s">
        <v>8</v>
      </c>
      <c r="G33" s="30">
        <v>33212</v>
      </c>
      <c r="H33" s="26" t="s">
        <v>49</v>
      </c>
      <c r="I33" s="26" t="s">
        <v>110</v>
      </c>
      <c r="J33" s="26" t="s">
        <v>110</v>
      </c>
      <c r="K33" s="26">
        <v>12977</v>
      </c>
      <c r="L33" s="31" t="s">
        <v>2276</v>
      </c>
      <c r="M33" s="26">
        <v>5489</v>
      </c>
      <c r="N33" s="31" t="s">
        <v>158</v>
      </c>
      <c r="O33" s="26">
        <v>5580305487</v>
      </c>
      <c r="P33" s="29" t="s">
        <v>2167</v>
      </c>
      <c r="Q33" s="31" t="s">
        <v>9</v>
      </c>
      <c r="R33" s="26">
        <v>5551722172</v>
      </c>
      <c r="S33" s="31" t="s">
        <v>2213</v>
      </c>
      <c r="T33" s="26" t="s">
        <v>2254</v>
      </c>
      <c r="U33" s="31" t="s">
        <v>2253</v>
      </c>
      <c r="V33" s="31" t="s">
        <v>167</v>
      </c>
      <c r="W33" s="31" t="s">
        <v>168</v>
      </c>
      <c r="X33" s="31" t="s">
        <v>84</v>
      </c>
      <c r="Y33" s="31">
        <v>11000</v>
      </c>
      <c r="Z33" s="31" t="s">
        <v>57</v>
      </c>
      <c r="AA33" s="31" t="s">
        <v>57</v>
      </c>
      <c r="AB33" s="31" t="s">
        <v>169</v>
      </c>
      <c r="AC33" s="31">
        <v>5552029761</v>
      </c>
      <c r="AD33" s="31">
        <v>5555202036</v>
      </c>
    </row>
    <row r="34" spans="1:30" x14ac:dyDescent="0.2">
      <c r="A34" s="26">
        <v>11068</v>
      </c>
      <c r="B34" s="26">
        <f>VLOOKUP(A34,Hoja1!A:A,1,FALSE)</f>
        <v>11068</v>
      </c>
      <c r="C34" s="27" t="s">
        <v>170</v>
      </c>
      <c r="D34" s="28" t="s">
        <v>48</v>
      </c>
      <c r="E34" s="29" t="s">
        <v>8</v>
      </c>
      <c r="F34" s="29" t="s">
        <v>8</v>
      </c>
      <c r="G34" s="30">
        <v>33763</v>
      </c>
      <c r="H34" s="26" t="s">
        <v>49</v>
      </c>
      <c r="I34" s="26" t="s">
        <v>110</v>
      </c>
      <c r="J34" s="26" t="s">
        <v>110</v>
      </c>
      <c r="K34" s="26">
        <v>6455</v>
      </c>
      <c r="L34" s="31" t="s">
        <v>2277</v>
      </c>
      <c r="M34" s="26">
        <v>5489</v>
      </c>
      <c r="N34" s="31" t="s">
        <v>158</v>
      </c>
      <c r="O34" s="26">
        <v>5580305487</v>
      </c>
      <c r="P34" s="29" t="s">
        <v>2167</v>
      </c>
      <c r="Q34" s="31" t="s">
        <v>9</v>
      </c>
      <c r="R34" s="26">
        <v>5551722172</v>
      </c>
      <c r="S34" s="31" t="s">
        <v>2213</v>
      </c>
      <c r="T34" s="26" t="s">
        <v>2254</v>
      </c>
      <c r="U34" s="31" t="s">
        <v>2253</v>
      </c>
      <c r="V34" s="31" t="s">
        <v>171</v>
      </c>
      <c r="W34" s="31" t="s">
        <v>163</v>
      </c>
      <c r="X34" s="31" t="s">
        <v>84</v>
      </c>
      <c r="Y34" s="31">
        <v>11570</v>
      </c>
      <c r="Z34" s="31" t="s">
        <v>57</v>
      </c>
      <c r="AA34" s="31" t="s">
        <v>57</v>
      </c>
      <c r="AB34" s="31" t="s">
        <v>172</v>
      </c>
      <c r="AC34" s="31">
        <v>5568453400</v>
      </c>
      <c r="AD34" s="31">
        <v>5576527914</v>
      </c>
    </row>
    <row r="35" spans="1:30" x14ac:dyDescent="0.2">
      <c r="A35" s="26">
        <v>11071</v>
      </c>
      <c r="B35" s="26">
        <f>VLOOKUP(A35,Hoja1!A:A,1,FALSE)</f>
        <v>11071</v>
      </c>
      <c r="C35" s="27" t="s">
        <v>173</v>
      </c>
      <c r="D35" s="28" t="s">
        <v>48</v>
      </c>
      <c r="E35" s="29" t="s">
        <v>8</v>
      </c>
      <c r="F35" s="29" t="s">
        <v>8</v>
      </c>
      <c r="G35" s="30">
        <v>33796</v>
      </c>
      <c r="H35" s="26" t="s">
        <v>49</v>
      </c>
      <c r="I35" s="26" t="s">
        <v>110</v>
      </c>
      <c r="J35" s="26" t="s">
        <v>110</v>
      </c>
      <c r="K35" s="26">
        <v>45788</v>
      </c>
      <c r="L35" s="31" t="s">
        <v>2278</v>
      </c>
      <c r="M35" s="26">
        <v>5489</v>
      </c>
      <c r="N35" s="31" t="s">
        <v>158</v>
      </c>
      <c r="O35" s="26">
        <v>5580305487</v>
      </c>
      <c r="P35" s="29" t="s">
        <v>2167</v>
      </c>
      <c r="Q35" s="31" t="s">
        <v>9</v>
      </c>
      <c r="R35" s="26">
        <v>5551722172</v>
      </c>
      <c r="S35" s="31" t="s">
        <v>2213</v>
      </c>
      <c r="T35" s="26" t="s">
        <v>2254</v>
      </c>
      <c r="U35" s="31" t="s">
        <v>2253</v>
      </c>
      <c r="V35" s="31" t="s">
        <v>174</v>
      </c>
      <c r="W35" s="31" t="s">
        <v>175</v>
      </c>
      <c r="X35" s="31" t="s">
        <v>161</v>
      </c>
      <c r="Y35" s="31">
        <v>52787</v>
      </c>
      <c r="Z35" s="31" t="s">
        <v>118</v>
      </c>
      <c r="AA35" s="31" t="s">
        <v>118</v>
      </c>
      <c r="AB35" s="31" t="s">
        <v>176</v>
      </c>
      <c r="AC35" s="31">
        <v>5552931147</v>
      </c>
      <c r="AD35" s="31">
        <v>5555898282</v>
      </c>
    </row>
    <row r="36" spans="1:30" x14ac:dyDescent="0.2">
      <c r="A36" s="26">
        <v>11165</v>
      </c>
      <c r="B36" s="26">
        <f>VLOOKUP(A36,Hoja1!A:A,1,FALSE)</f>
        <v>11165</v>
      </c>
      <c r="C36" s="27" t="s">
        <v>177</v>
      </c>
      <c r="D36" s="28" t="s">
        <v>48</v>
      </c>
      <c r="E36" s="29" t="s">
        <v>8</v>
      </c>
      <c r="F36" s="29" t="s">
        <v>8</v>
      </c>
      <c r="G36" s="30">
        <v>35768</v>
      </c>
      <c r="H36" s="26" t="s">
        <v>49</v>
      </c>
      <c r="I36" s="26" t="s">
        <v>110</v>
      </c>
      <c r="J36" s="26" t="s">
        <v>110</v>
      </c>
      <c r="K36" s="26">
        <v>9904</v>
      </c>
      <c r="L36" s="31" t="s">
        <v>2279</v>
      </c>
      <c r="M36" s="26">
        <v>5489</v>
      </c>
      <c r="N36" s="31" t="s">
        <v>158</v>
      </c>
      <c r="O36" s="26">
        <v>5580305487</v>
      </c>
      <c r="P36" s="29" t="s">
        <v>2167</v>
      </c>
      <c r="Q36" s="31" t="s">
        <v>9</v>
      </c>
      <c r="R36" s="26">
        <v>5551722172</v>
      </c>
      <c r="S36" s="31" t="s">
        <v>2213</v>
      </c>
      <c r="T36" s="26" t="s">
        <v>2254</v>
      </c>
      <c r="U36" s="31" t="s">
        <v>2253</v>
      </c>
      <c r="V36" s="31" t="s">
        <v>178</v>
      </c>
      <c r="W36" s="31" t="s">
        <v>179</v>
      </c>
      <c r="X36" s="31" t="s">
        <v>84</v>
      </c>
      <c r="Y36" s="31">
        <v>11220</v>
      </c>
      <c r="Z36" s="31" t="s">
        <v>57</v>
      </c>
      <c r="AA36" s="31" t="s">
        <v>57</v>
      </c>
      <c r="AB36" s="31" t="s">
        <v>180</v>
      </c>
      <c r="AC36" s="31">
        <v>5555800752</v>
      </c>
      <c r="AD36" s="31">
        <v>5555802222</v>
      </c>
    </row>
    <row r="37" spans="1:30" x14ac:dyDescent="0.2">
      <c r="A37" s="26">
        <v>11209</v>
      </c>
      <c r="B37" s="26">
        <f>VLOOKUP(A37,Hoja1!A:A,1,FALSE)</f>
        <v>11209</v>
      </c>
      <c r="C37" s="27" t="s">
        <v>161</v>
      </c>
      <c r="D37" s="28" t="s">
        <v>48</v>
      </c>
      <c r="E37" s="29" t="s">
        <v>8</v>
      </c>
      <c r="F37" s="29" t="s">
        <v>8</v>
      </c>
      <c r="G37" s="30">
        <v>36113</v>
      </c>
      <c r="H37" s="26" t="s">
        <v>49</v>
      </c>
      <c r="I37" s="26" t="s">
        <v>110</v>
      </c>
      <c r="J37" s="26" t="s">
        <v>110</v>
      </c>
      <c r="K37" s="26">
        <v>26416</v>
      </c>
      <c r="L37" s="31" t="s">
        <v>2280</v>
      </c>
      <c r="M37" s="26">
        <v>5489</v>
      </c>
      <c r="N37" s="31" t="s">
        <v>158</v>
      </c>
      <c r="O37" s="26">
        <v>5580305487</v>
      </c>
      <c r="P37" s="29" t="s">
        <v>2167</v>
      </c>
      <c r="Q37" s="31" t="s">
        <v>9</v>
      </c>
      <c r="R37" s="26">
        <v>5551722172</v>
      </c>
      <c r="S37" s="31" t="s">
        <v>2213</v>
      </c>
      <c r="T37" s="26" t="s">
        <v>2254</v>
      </c>
      <c r="U37" s="31" t="s">
        <v>2253</v>
      </c>
      <c r="V37" s="31" t="s">
        <v>181</v>
      </c>
      <c r="W37" s="31" t="s">
        <v>182</v>
      </c>
      <c r="X37" s="31" t="s">
        <v>161</v>
      </c>
      <c r="Y37" s="31">
        <v>53490</v>
      </c>
      <c r="Z37" s="31" t="s">
        <v>118</v>
      </c>
      <c r="AA37" s="31" t="s">
        <v>118</v>
      </c>
      <c r="AB37" s="31" t="s">
        <v>183</v>
      </c>
      <c r="AC37" s="31">
        <v>5553019000</v>
      </c>
      <c r="AD37" s="31">
        <v>5553015000</v>
      </c>
    </row>
    <row r="38" spans="1:30" x14ac:dyDescent="0.2">
      <c r="A38" s="26">
        <v>11475</v>
      </c>
      <c r="B38" s="26">
        <f>VLOOKUP(A38,Hoja1!A:A,1,FALSE)</f>
        <v>11475</v>
      </c>
      <c r="C38" s="27" t="s">
        <v>1965</v>
      </c>
      <c r="D38" s="28" t="s">
        <v>48</v>
      </c>
      <c r="E38" s="29" t="s">
        <v>8</v>
      </c>
      <c r="F38" s="29" t="s">
        <v>8</v>
      </c>
      <c r="G38" s="30">
        <v>38992</v>
      </c>
      <c r="H38" s="26" t="s">
        <v>49</v>
      </c>
      <c r="I38" s="26" t="s">
        <v>110</v>
      </c>
      <c r="J38" s="26" t="s">
        <v>110</v>
      </c>
      <c r="K38" s="26">
        <v>29680</v>
      </c>
      <c r="L38" s="31" t="s">
        <v>2281</v>
      </c>
      <c r="M38" s="26">
        <v>5489</v>
      </c>
      <c r="N38" s="31" t="s">
        <v>158</v>
      </c>
      <c r="O38" s="26">
        <v>5580305487</v>
      </c>
      <c r="P38" s="29" t="s">
        <v>2167</v>
      </c>
      <c r="Q38" s="31" t="s">
        <v>9</v>
      </c>
      <c r="R38" s="26">
        <v>5551722172</v>
      </c>
      <c r="S38" s="31" t="s">
        <v>2213</v>
      </c>
      <c r="T38" s="26" t="s">
        <v>2254</v>
      </c>
      <c r="U38" s="31" t="s">
        <v>2253</v>
      </c>
      <c r="V38" s="31" t="s">
        <v>184</v>
      </c>
      <c r="W38" s="31" t="s">
        <v>185</v>
      </c>
      <c r="X38" s="31" t="s">
        <v>161</v>
      </c>
      <c r="Y38" s="31">
        <v>53550</v>
      </c>
      <c r="Z38" s="31" t="s">
        <v>57</v>
      </c>
      <c r="AA38" s="31" t="s">
        <v>57</v>
      </c>
      <c r="AB38" s="31" t="s">
        <v>186</v>
      </c>
      <c r="AC38" s="31">
        <v>5555765874</v>
      </c>
      <c r="AD38" s="31">
        <v>5555765363</v>
      </c>
    </row>
    <row r="39" spans="1:30" x14ac:dyDescent="0.2">
      <c r="A39" s="26">
        <v>11625</v>
      </c>
      <c r="B39" s="26">
        <f>VLOOKUP(A39,Hoja1!A:A,1,FALSE)</f>
        <v>11625</v>
      </c>
      <c r="C39" s="27" t="s">
        <v>187</v>
      </c>
      <c r="D39" s="28" t="s">
        <v>48</v>
      </c>
      <c r="E39" s="29" t="s">
        <v>8</v>
      </c>
      <c r="F39" s="29" t="s">
        <v>8</v>
      </c>
      <c r="G39" s="30">
        <v>42871</v>
      </c>
      <c r="H39" s="26" t="s">
        <v>49</v>
      </c>
      <c r="I39" s="26" t="s">
        <v>110</v>
      </c>
      <c r="J39" s="26" t="s">
        <v>110</v>
      </c>
      <c r="K39" s="26">
        <v>46377</v>
      </c>
      <c r="L39" s="31" t="s">
        <v>2282</v>
      </c>
      <c r="M39" s="26">
        <v>5489</v>
      </c>
      <c r="N39" s="31" t="s">
        <v>158</v>
      </c>
      <c r="O39" s="26">
        <v>5580305487</v>
      </c>
      <c r="P39" s="29" t="s">
        <v>2167</v>
      </c>
      <c r="Q39" s="31" t="s">
        <v>9</v>
      </c>
      <c r="R39" s="26">
        <v>5551722172</v>
      </c>
      <c r="S39" s="31" t="s">
        <v>2213</v>
      </c>
      <c r="T39" s="26" t="s">
        <v>2254</v>
      </c>
      <c r="U39" s="31" t="s">
        <v>2253</v>
      </c>
      <c r="V39" s="31" t="s">
        <v>188</v>
      </c>
      <c r="W39" s="31" t="s">
        <v>189</v>
      </c>
      <c r="X39" s="31" t="s">
        <v>84</v>
      </c>
      <c r="Y39" s="31">
        <v>11500</v>
      </c>
      <c r="Z39" s="31" t="s">
        <v>57</v>
      </c>
      <c r="AA39" s="31" t="s">
        <v>57</v>
      </c>
      <c r="AB39" s="31" t="s">
        <v>190</v>
      </c>
      <c r="AC39" s="31">
        <v>5553950581</v>
      </c>
      <c r="AD39" s="31">
        <v>5555573345</v>
      </c>
    </row>
    <row r="40" spans="1:30" x14ac:dyDescent="0.2">
      <c r="A40" s="26">
        <v>11949</v>
      </c>
      <c r="B40" s="26">
        <f>VLOOKUP(A40,Hoja1!A:A,1,FALSE)</f>
        <v>11949</v>
      </c>
      <c r="C40" s="27" t="s">
        <v>191</v>
      </c>
      <c r="D40" s="28" t="s">
        <v>48</v>
      </c>
      <c r="E40" s="29" t="s">
        <v>8</v>
      </c>
      <c r="F40" s="29" t="s">
        <v>8</v>
      </c>
      <c r="G40" s="30">
        <v>41987</v>
      </c>
      <c r="H40" s="26" t="s">
        <v>49</v>
      </c>
      <c r="I40" s="26" t="s">
        <v>50</v>
      </c>
      <c r="J40" s="26" t="s">
        <v>153</v>
      </c>
      <c r="K40" s="26">
        <v>112616</v>
      </c>
      <c r="L40" s="31" t="s">
        <v>2283</v>
      </c>
      <c r="M40" s="26">
        <v>5489</v>
      </c>
      <c r="N40" s="31" t="s">
        <v>158</v>
      </c>
      <c r="O40" s="26">
        <v>5580305487</v>
      </c>
      <c r="P40" s="29" t="s">
        <v>2167</v>
      </c>
      <c r="Q40" s="31" t="s">
        <v>9</v>
      </c>
      <c r="R40" s="26">
        <v>5551722172</v>
      </c>
      <c r="S40" s="31" t="s">
        <v>2213</v>
      </c>
      <c r="T40" s="26" t="s">
        <v>2254</v>
      </c>
      <c r="U40" s="31" t="s">
        <v>2253</v>
      </c>
      <c r="V40" s="31" t="s">
        <v>192</v>
      </c>
      <c r="W40" s="31" t="s">
        <v>193</v>
      </c>
      <c r="X40" s="31" t="s">
        <v>161</v>
      </c>
      <c r="Y40" s="31">
        <v>53390</v>
      </c>
      <c r="Z40" s="31" t="s">
        <v>118</v>
      </c>
      <c r="AA40" s="31" t="s">
        <v>118</v>
      </c>
      <c r="AB40" s="31" t="s">
        <v>194</v>
      </c>
      <c r="AC40" s="31">
        <v>5553954980</v>
      </c>
      <c r="AD40" s="31">
        <v>5553954980</v>
      </c>
    </row>
    <row r="41" spans="1:30" x14ac:dyDescent="0.2">
      <c r="A41" s="26">
        <v>11132</v>
      </c>
      <c r="B41" s="26">
        <f>VLOOKUP(A41,Hoja1!A:A,1,FALSE)</f>
        <v>11132</v>
      </c>
      <c r="C41" s="27" t="s">
        <v>195</v>
      </c>
      <c r="D41" s="28" t="s">
        <v>48</v>
      </c>
      <c r="E41" s="29" t="s">
        <v>8</v>
      </c>
      <c r="F41" s="29" t="s">
        <v>8</v>
      </c>
      <c r="G41" s="30">
        <v>34883</v>
      </c>
      <c r="H41" s="26" t="s">
        <v>49</v>
      </c>
      <c r="I41" s="26" t="s">
        <v>110</v>
      </c>
      <c r="J41" s="26" t="s">
        <v>110</v>
      </c>
      <c r="K41" s="26">
        <v>111640</v>
      </c>
      <c r="L41" s="31" t="s">
        <v>2284</v>
      </c>
      <c r="M41" s="26">
        <v>4301</v>
      </c>
      <c r="N41" s="31" t="s">
        <v>196</v>
      </c>
      <c r="O41" s="26">
        <v>5561220377</v>
      </c>
      <c r="P41" s="29" t="s">
        <v>2168</v>
      </c>
      <c r="Q41" s="31" t="s">
        <v>9</v>
      </c>
      <c r="R41" s="26">
        <v>5551722172</v>
      </c>
      <c r="S41" s="31" t="s">
        <v>2213</v>
      </c>
      <c r="T41" s="26" t="s">
        <v>2254</v>
      </c>
      <c r="U41" s="31" t="s">
        <v>2253</v>
      </c>
      <c r="V41" s="31" t="s">
        <v>197</v>
      </c>
      <c r="W41" s="31" t="s">
        <v>198</v>
      </c>
      <c r="X41" s="31" t="s">
        <v>199</v>
      </c>
      <c r="Y41" s="31">
        <v>57170</v>
      </c>
      <c r="Z41" s="31" t="s">
        <v>57</v>
      </c>
      <c r="AA41" s="31" t="s">
        <v>57</v>
      </c>
      <c r="AB41" s="31" t="s">
        <v>200</v>
      </c>
      <c r="AC41" s="31">
        <v>5526515770</v>
      </c>
      <c r="AD41" s="31">
        <v>5557665119</v>
      </c>
    </row>
    <row r="42" spans="1:30" x14ac:dyDescent="0.2">
      <c r="A42" s="26">
        <v>11141</v>
      </c>
      <c r="B42" s="26">
        <f>VLOOKUP(A42,Hoja1!A:A,1,FALSE)</f>
        <v>11141</v>
      </c>
      <c r="C42" s="27" t="s">
        <v>201</v>
      </c>
      <c r="D42" s="28" t="s">
        <v>48</v>
      </c>
      <c r="E42" s="29" t="s">
        <v>8</v>
      </c>
      <c r="F42" s="29" t="s">
        <v>8</v>
      </c>
      <c r="G42" s="30">
        <v>35183</v>
      </c>
      <c r="H42" s="26" t="s">
        <v>49</v>
      </c>
      <c r="I42" s="26" t="s">
        <v>110</v>
      </c>
      <c r="J42" s="26" t="s">
        <v>110</v>
      </c>
      <c r="K42" s="26">
        <v>14775</v>
      </c>
      <c r="L42" s="31" t="s">
        <v>2285</v>
      </c>
      <c r="M42" s="26">
        <v>4301</v>
      </c>
      <c r="N42" s="31" t="s">
        <v>196</v>
      </c>
      <c r="O42" s="26">
        <v>5561220377</v>
      </c>
      <c r="P42" s="29" t="s">
        <v>2168</v>
      </c>
      <c r="Q42" s="31" t="s">
        <v>9</v>
      </c>
      <c r="R42" s="26">
        <v>5551722172</v>
      </c>
      <c r="S42" s="31" t="s">
        <v>2213</v>
      </c>
      <c r="T42" s="26" t="s">
        <v>2254</v>
      </c>
      <c r="U42" s="31" t="s">
        <v>2253</v>
      </c>
      <c r="V42" s="31" t="s">
        <v>202</v>
      </c>
      <c r="W42" s="31" t="s">
        <v>203</v>
      </c>
      <c r="X42" s="31" t="s">
        <v>69</v>
      </c>
      <c r="Y42" s="31">
        <v>7840</v>
      </c>
      <c r="Z42" s="31" t="s">
        <v>57</v>
      </c>
      <c r="AA42" s="31" t="s">
        <v>57</v>
      </c>
      <c r="AB42" s="31" t="s">
        <v>204</v>
      </c>
      <c r="AC42" s="31">
        <v>5555374949</v>
      </c>
      <c r="AD42" s="31">
        <v>5555374949</v>
      </c>
    </row>
    <row r="43" spans="1:30" x14ac:dyDescent="0.2">
      <c r="A43" s="26">
        <v>11159</v>
      </c>
      <c r="B43" s="26">
        <f>VLOOKUP(A43,Hoja1!A:A,1,FALSE)</f>
        <v>11159</v>
      </c>
      <c r="C43" s="27" t="s">
        <v>205</v>
      </c>
      <c r="D43" s="28" t="s">
        <v>48</v>
      </c>
      <c r="E43" s="29" t="s">
        <v>8</v>
      </c>
      <c r="F43" s="29" t="s">
        <v>8</v>
      </c>
      <c r="G43" s="30">
        <v>35746</v>
      </c>
      <c r="H43" s="26" t="s">
        <v>49</v>
      </c>
      <c r="I43" s="26" t="s">
        <v>50</v>
      </c>
      <c r="J43" s="26" t="s">
        <v>206</v>
      </c>
      <c r="K43" s="26">
        <v>4524</v>
      </c>
      <c r="L43" s="31" t="s">
        <v>2286</v>
      </c>
      <c r="M43" s="26">
        <v>4301</v>
      </c>
      <c r="N43" s="31" t="s">
        <v>196</v>
      </c>
      <c r="O43" s="26">
        <v>5561220377</v>
      </c>
      <c r="P43" s="29" t="s">
        <v>2168</v>
      </c>
      <c r="Q43" s="31" t="s">
        <v>9</v>
      </c>
      <c r="R43" s="26">
        <v>5551722172</v>
      </c>
      <c r="S43" s="31" t="s">
        <v>2213</v>
      </c>
      <c r="T43" s="26" t="s">
        <v>2254</v>
      </c>
      <c r="U43" s="31" t="s">
        <v>2253</v>
      </c>
      <c r="V43" s="31" t="s">
        <v>207</v>
      </c>
      <c r="W43" s="31" t="s">
        <v>208</v>
      </c>
      <c r="X43" s="31" t="s">
        <v>126</v>
      </c>
      <c r="Y43" s="31">
        <v>55121</v>
      </c>
      <c r="Z43" s="31" t="s">
        <v>118</v>
      </c>
      <c r="AA43" s="31" t="s">
        <v>118</v>
      </c>
      <c r="AB43" s="31" t="s">
        <v>209</v>
      </c>
      <c r="AC43" s="31">
        <v>5557772322</v>
      </c>
      <c r="AD43" s="31">
        <v>5557759090</v>
      </c>
    </row>
    <row r="44" spans="1:30" x14ac:dyDescent="0.2">
      <c r="A44" s="26">
        <v>11200</v>
      </c>
      <c r="B44" s="26">
        <f>VLOOKUP(A44,Hoja1!A:A,1,FALSE)</f>
        <v>11200</v>
      </c>
      <c r="C44" s="27" t="s">
        <v>210</v>
      </c>
      <c r="D44" s="28" t="s">
        <v>48</v>
      </c>
      <c r="E44" s="29" t="s">
        <v>8</v>
      </c>
      <c r="F44" s="29" t="s">
        <v>8</v>
      </c>
      <c r="G44" s="30">
        <v>36073</v>
      </c>
      <c r="H44" s="26" t="s">
        <v>49</v>
      </c>
      <c r="I44" s="26" t="s">
        <v>110</v>
      </c>
      <c r="J44" s="26" t="s">
        <v>110</v>
      </c>
      <c r="K44" s="26">
        <v>4441</v>
      </c>
      <c r="L44" s="31" t="s">
        <v>2287</v>
      </c>
      <c r="M44" s="26">
        <v>4301</v>
      </c>
      <c r="N44" s="31" t="s">
        <v>196</v>
      </c>
      <c r="O44" s="26">
        <v>5561220377</v>
      </c>
      <c r="P44" s="29" t="s">
        <v>2168</v>
      </c>
      <c r="Q44" s="31" t="s">
        <v>9</v>
      </c>
      <c r="R44" s="26">
        <v>5551722172</v>
      </c>
      <c r="S44" s="31" t="s">
        <v>2213</v>
      </c>
      <c r="T44" s="26" t="s">
        <v>2254</v>
      </c>
      <c r="U44" s="31" t="s">
        <v>2253</v>
      </c>
      <c r="V44" s="31" t="s">
        <v>211</v>
      </c>
      <c r="W44" s="31" t="s">
        <v>212</v>
      </c>
      <c r="X44" s="31" t="s">
        <v>69</v>
      </c>
      <c r="Y44" s="31">
        <v>2490</v>
      </c>
      <c r="Z44" s="31" t="s">
        <v>57</v>
      </c>
      <c r="AA44" s="31" t="s">
        <v>57</v>
      </c>
      <c r="AB44" s="31" t="s">
        <v>213</v>
      </c>
      <c r="AC44" s="31">
        <v>5553564135</v>
      </c>
      <c r="AD44" s="31">
        <v>5553564140</v>
      </c>
    </row>
    <row r="45" spans="1:30" x14ac:dyDescent="0.2">
      <c r="A45" s="26">
        <v>11207</v>
      </c>
      <c r="B45" s="26">
        <f>VLOOKUP(A45,Hoja1!A:A,1,FALSE)</f>
        <v>11207</v>
      </c>
      <c r="C45" s="27" t="s">
        <v>214</v>
      </c>
      <c r="D45" s="28" t="s">
        <v>48</v>
      </c>
      <c r="E45" s="29" t="s">
        <v>8</v>
      </c>
      <c r="F45" s="29" t="s">
        <v>8</v>
      </c>
      <c r="G45" s="30">
        <v>36066</v>
      </c>
      <c r="H45" s="26" t="s">
        <v>49</v>
      </c>
      <c r="I45" s="26" t="s">
        <v>110</v>
      </c>
      <c r="J45" s="26" t="s">
        <v>110</v>
      </c>
      <c r="K45" s="26">
        <v>110906</v>
      </c>
      <c r="L45" s="31" t="s">
        <v>2288</v>
      </c>
      <c r="M45" s="26">
        <v>4301</v>
      </c>
      <c r="N45" s="31" t="s">
        <v>196</v>
      </c>
      <c r="O45" s="26">
        <v>5561220377</v>
      </c>
      <c r="P45" s="29" t="s">
        <v>2168</v>
      </c>
      <c r="Q45" s="31" t="s">
        <v>9</v>
      </c>
      <c r="R45" s="26">
        <v>5551722172</v>
      </c>
      <c r="S45" s="31" t="s">
        <v>2213</v>
      </c>
      <c r="T45" s="26" t="s">
        <v>2254</v>
      </c>
      <c r="U45" s="31" t="s">
        <v>2253</v>
      </c>
      <c r="V45" s="31" t="s">
        <v>215</v>
      </c>
      <c r="W45" s="31" t="s">
        <v>216</v>
      </c>
      <c r="X45" s="31" t="s">
        <v>69</v>
      </c>
      <c r="Y45" s="31">
        <v>54700</v>
      </c>
      <c r="Z45" s="31" t="s">
        <v>57</v>
      </c>
      <c r="AA45" s="31" t="s">
        <v>57</v>
      </c>
      <c r="AB45" s="31" t="s">
        <v>217</v>
      </c>
      <c r="AC45" s="31">
        <v>5557532354</v>
      </c>
      <c r="AD45" s="31">
        <v>5557532929</v>
      </c>
    </row>
    <row r="46" spans="1:30" x14ac:dyDescent="0.2">
      <c r="A46" s="26">
        <v>11211</v>
      </c>
      <c r="B46" s="26">
        <f>VLOOKUP(A46,Hoja1!A:A,1,FALSE)</f>
        <v>11211</v>
      </c>
      <c r="C46" s="27" t="s">
        <v>218</v>
      </c>
      <c r="D46" s="28" t="s">
        <v>48</v>
      </c>
      <c r="E46" s="29" t="s">
        <v>8</v>
      </c>
      <c r="F46" s="29" t="s">
        <v>8</v>
      </c>
      <c r="G46" s="30">
        <v>36100</v>
      </c>
      <c r="H46" s="26" t="s">
        <v>49</v>
      </c>
      <c r="I46" s="26" t="s">
        <v>110</v>
      </c>
      <c r="J46" s="26" t="s">
        <v>110</v>
      </c>
      <c r="K46" s="26">
        <v>4290</v>
      </c>
      <c r="L46" s="31" t="s">
        <v>2289</v>
      </c>
      <c r="M46" s="26">
        <v>4301</v>
      </c>
      <c r="N46" s="31" t="s">
        <v>196</v>
      </c>
      <c r="O46" s="26">
        <v>5561220377</v>
      </c>
      <c r="P46" s="29" t="s">
        <v>2168</v>
      </c>
      <c r="Q46" s="31" t="s">
        <v>9</v>
      </c>
      <c r="R46" s="26">
        <v>5551722172</v>
      </c>
      <c r="S46" s="31" t="s">
        <v>2213</v>
      </c>
      <c r="T46" s="26" t="s">
        <v>2254</v>
      </c>
      <c r="U46" s="31" t="s">
        <v>2253</v>
      </c>
      <c r="V46" s="31" t="s">
        <v>219</v>
      </c>
      <c r="W46" s="31" t="s">
        <v>220</v>
      </c>
      <c r="X46" s="31" t="s">
        <v>126</v>
      </c>
      <c r="Y46" s="31">
        <v>55270</v>
      </c>
      <c r="Z46" s="31" t="s">
        <v>118</v>
      </c>
      <c r="AA46" s="31" t="s">
        <v>118</v>
      </c>
      <c r="AB46" s="31" t="s">
        <v>221</v>
      </c>
      <c r="AC46" s="31">
        <v>5526172053</v>
      </c>
      <c r="AD46" s="31">
        <v>5557126060</v>
      </c>
    </row>
    <row r="47" spans="1:30" x14ac:dyDescent="0.2">
      <c r="A47" s="26">
        <v>11250</v>
      </c>
      <c r="B47" s="26">
        <f>VLOOKUP(A47,Hoja1!A:A,1,FALSE)</f>
        <v>11250</v>
      </c>
      <c r="C47" s="27" t="s">
        <v>222</v>
      </c>
      <c r="D47" s="28" t="s">
        <v>48</v>
      </c>
      <c r="E47" s="29" t="s">
        <v>8</v>
      </c>
      <c r="F47" s="29" t="s">
        <v>8</v>
      </c>
      <c r="G47" s="30">
        <v>36472</v>
      </c>
      <c r="H47" s="26" t="s">
        <v>49</v>
      </c>
      <c r="I47" s="26" t="s">
        <v>110</v>
      </c>
      <c r="J47" s="26" t="s">
        <v>110</v>
      </c>
      <c r="K47" s="26">
        <v>28082</v>
      </c>
      <c r="L47" s="31" t="s">
        <v>2290</v>
      </c>
      <c r="M47" s="26">
        <v>4301</v>
      </c>
      <c r="N47" s="31" t="s">
        <v>196</v>
      </c>
      <c r="O47" s="26">
        <v>5561220377</v>
      </c>
      <c r="P47" s="29" t="s">
        <v>2168</v>
      </c>
      <c r="Q47" s="31" t="s">
        <v>9</v>
      </c>
      <c r="R47" s="26">
        <v>5551722172</v>
      </c>
      <c r="S47" s="31" t="s">
        <v>2213</v>
      </c>
      <c r="T47" s="26" t="s">
        <v>2254</v>
      </c>
      <c r="U47" s="31" t="s">
        <v>2253</v>
      </c>
      <c r="V47" s="31" t="s">
        <v>223</v>
      </c>
      <c r="W47" s="31" t="s">
        <v>224</v>
      </c>
      <c r="X47" s="31" t="s">
        <v>99</v>
      </c>
      <c r="Y47" s="31">
        <v>54170</v>
      </c>
      <c r="Z47" s="31" t="s">
        <v>118</v>
      </c>
      <c r="AA47" s="31" t="s">
        <v>118</v>
      </c>
      <c r="AB47" s="31" t="s">
        <v>225</v>
      </c>
      <c r="AC47" s="31">
        <v>5572610771</v>
      </c>
      <c r="AD47" s="31">
        <v>5553699809</v>
      </c>
    </row>
    <row r="48" spans="1:30" x14ac:dyDescent="0.2">
      <c r="A48" s="26">
        <v>11289</v>
      </c>
      <c r="B48" s="26">
        <f>VLOOKUP(A48,Hoja1!A:A,1,FALSE)</f>
        <v>11289</v>
      </c>
      <c r="C48" s="27" t="s">
        <v>226</v>
      </c>
      <c r="D48" s="28" t="s">
        <v>48</v>
      </c>
      <c r="E48" s="29" t="s">
        <v>8</v>
      </c>
      <c r="F48" s="29" t="s">
        <v>8</v>
      </c>
      <c r="G48" s="30">
        <v>36496</v>
      </c>
      <c r="H48" s="26" t="s">
        <v>49</v>
      </c>
      <c r="I48" s="26" t="s">
        <v>110</v>
      </c>
      <c r="J48" s="26" t="s">
        <v>110</v>
      </c>
      <c r="K48" s="26">
        <v>13698</v>
      </c>
      <c r="L48" s="31" t="s">
        <v>2291</v>
      </c>
      <c r="M48" s="26">
        <v>4301</v>
      </c>
      <c r="N48" s="31" t="s">
        <v>196</v>
      </c>
      <c r="O48" s="26">
        <v>5561220377</v>
      </c>
      <c r="P48" s="29" t="s">
        <v>2168</v>
      </c>
      <c r="Q48" s="31" t="s">
        <v>9</v>
      </c>
      <c r="R48" s="26">
        <v>5551722172</v>
      </c>
      <c r="S48" s="31" t="s">
        <v>2213</v>
      </c>
      <c r="T48" s="26" t="s">
        <v>2254</v>
      </c>
      <c r="U48" s="31" t="s">
        <v>2253</v>
      </c>
      <c r="V48" s="31" t="s">
        <v>227</v>
      </c>
      <c r="W48" s="31" t="s">
        <v>228</v>
      </c>
      <c r="X48" s="31" t="s">
        <v>69</v>
      </c>
      <c r="Y48" s="31">
        <v>7920</v>
      </c>
      <c r="Z48" s="31" t="s">
        <v>57</v>
      </c>
      <c r="AA48" s="31" t="s">
        <v>57</v>
      </c>
      <c r="AB48" s="31" t="s">
        <v>229</v>
      </c>
      <c r="AC48" s="31">
        <v>5557716062</v>
      </c>
      <c r="AD48" s="31">
        <v>5557716060</v>
      </c>
    </row>
    <row r="49" spans="1:30" x14ac:dyDescent="0.2">
      <c r="A49" s="26">
        <v>11480</v>
      </c>
      <c r="B49" s="26">
        <f>VLOOKUP(A49,Hoja1!A:A,1,FALSE)</f>
        <v>11480</v>
      </c>
      <c r="C49" s="27" t="s">
        <v>230</v>
      </c>
      <c r="D49" s="28" t="s">
        <v>48</v>
      </c>
      <c r="E49" s="29" t="s">
        <v>8</v>
      </c>
      <c r="F49" s="29" t="s">
        <v>8</v>
      </c>
      <c r="G49" s="30">
        <v>38786</v>
      </c>
      <c r="H49" s="26" t="s">
        <v>49</v>
      </c>
      <c r="I49" s="26" t="s">
        <v>110</v>
      </c>
      <c r="J49" s="26" t="s">
        <v>110</v>
      </c>
      <c r="K49" s="26">
        <v>3067</v>
      </c>
      <c r="L49" s="31" t="s">
        <v>2292</v>
      </c>
      <c r="M49" s="26">
        <v>4301</v>
      </c>
      <c r="N49" s="31" t="s">
        <v>196</v>
      </c>
      <c r="O49" s="26">
        <v>5561220377</v>
      </c>
      <c r="P49" s="29" t="s">
        <v>2168</v>
      </c>
      <c r="Q49" s="31" t="s">
        <v>9</v>
      </c>
      <c r="R49" s="26">
        <v>5551722172</v>
      </c>
      <c r="S49" s="31" t="s">
        <v>2213</v>
      </c>
      <c r="T49" s="26" t="s">
        <v>2254</v>
      </c>
      <c r="U49" s="31" t="s">
        <v>2253</v>
      </c>
      <c r="V49" s="31" t="s">
        <v>231</v>
      </c>
      <c r="W49" s="31" t="s">
        <v>198</v>
      </c>
      <c r="X49" s="31" t="s">
        <v>199</v>
      </c>
      <c r="Y49" s="31">
        <v>57170</v>
      </c>
      <c r="Z49" s="31" t="s">
        <v>118</v>
      </c>
      <c r="AA49" s="31" t="s">
        <v>118</v>
      </c>
      <c r="AB49" s="31" t="s">
        <v>232</v>
      </c>
      <c r="AC49" s="31">
        <v>5557668086</v>
      </c>
      <c r="AD49" s="31">
        <v>5557998050</v>
      </c>
    </row>
    <row r="50" spans="1:30" x14ac:dyDescent="0.2">
      <c r="A50" s="26">
        <v>11554</v>
      </c>
      <c r="B50" s="26">
        <f>VLOOKUP(A50,Hoja1!A:A,1,FALSE)</f>
        <v>11554</v>
      </c>
      <c r="C50" s="27" t="s">
        <v>233</v>
      </c>
      <c r="D50" s="28" t="s">
        <v>48</v>
      </c>
      <c r="E50" s="29" t="s">
        <v>8</v>
      </c>
      <c r="F50" s="29" t="s">
        <v>8</v>
      </c>
      <c r="G50" s="30">
        <v>41475</v>
      </c>
      <c r="H50" s="26" t="s">
        <v>49</v>
      </c>
      <c r="I50" s="26" t="s">
        <v>110</v>
      </c>
      <c r="J50" s="26" t="s">
        <v>110</v>
      </c>
      <c r="K50" s="26">
        <v>24556</v>
      </c>
      <c r="L50" s="31" t="s">
        <v>2293</v>
      </c>
      <c r="M50" s="26">
        <v>4301</v>
      </c>
      <c r="N50" s="31" t="s">
        <v>196</v>
      </c>
      <c r="O50" s="26">
        <v>5561220377</v>
      </c>
      <c r="P50" s="29" t="s">
        <v>2168</v>
      </c>
      <c r="Q50" s="31" t="s">
        <v>9</v>
      </c>
      <c r="R50" s="26">
        <v>5551722172</v>
      </c>
      <c r="S50" s="31" t="s">
        <v>2213</v>
      </c>
      <c r="T50" s="26" t="s">
        <v>2254</v>
      </c>
      <c r="U50" s="31" t="s">
        <v>2253</v>
      </c>
      <c r="V50" s="31" t="s">
        <v>234</v>
      </c>
      <c r="W50" s="31" t="s">
        <v>235</v>
      </c>
      <c r="X50" s="31" t="s">
        <v>126</v>
      </c>
      <c r="Y50" s="31">
        <v>55140</v>
      </c>
      <c r="Z50" s="31" t="s">
        <v>118</v>
      </c>
      <c r="AA50" s="31" t="s">
        <v>118</v>
      </c>
      <c r="AB50" s="31" t="s">
        <v>236</v>
      </c>
      <c r="AC50" s="31">
        <v>5527049653</v>
      </c>
      <c r="AD50" s="31">
        <v>5557759090</v>
      </c>
    </row>
    <row r="51" spans="1:30" x14ac:dyDescent="0.2">
      <c r="A51" s="26">
        <v>12349</v>
      </c>
      <c r="B51" s="26">
        <f>VLOOKUP(A51,Hoja1!A:A,1,FALSE)</f>
        <v>12349</v>
      </c>
      <c r="C51" s="27" t="s">
        <v>237</v>
      </c>
      <c r="D51" s="28" t="s">
        <v>48</v>
      </c>
      <c r="E51" s="29" t="s">
        <v>8</v>
      </c>
      <c r="F51" s="29" t="s">
        <v>8</v>
      </c>
      <c r="G51" s="30">
        <v>43444</v>
      </c>
      <c r="H51" s="26" t="s">
        <v>49</v>
      </c>
      <c r="I51" s="26" t="s">
        <v>110</v>
      </c>
      <c r="J51" s="26" t="s">
        <v>110</v>
      </c>
      <c r="K51" s="26">
        <v>925</v>
      </c>
      <c r="L51" s="31" t="s">
        <v>2294</v>
      </c>
      <c r="M51" s="26">
        <v>4301</v>
      </c>
      <c r="N51" s="31" t="s">
        <v>196</v>
      </c>
      <c r="O51" s="26">
        <v>5561220377</v>
      </c>
      <c r="P51" s="29" t="s">
        <v>2168</v>
      </c>
      <c r="Q51" s="31" t="s">
        <v>9</v>
      </c>
      <c r="R51" s="26">
        <v>5551722172</v>
      </c>
      <c r="S51" s="31" t="s">
        <v>2213</v>
      </c>
      <c r="T51" s="26" t="s">
        <v>2254</v>
      </c>
      <c r="U51" s="31" t="s">
        <v>2253</v>
      </c>
      <c r="V51" s="31" t="s">
        <v>238</v>
      </c>
      <c r="W51" s="31" t="s">
        <v>239</v>
      </c>
      <c r="X51" s="31" t="s">
        <v>69</v>
      </c>
      <c r="Y51" s="31">
        <v>7000</v>
      </c>
      <c r="Z51" s="31" t="s">
        <v>57</v>
      </c>
      <c r="AA51" s="31" t="s">
        <v>57</v>
      </c>
      <c r="AB51" s="31" t="s">
        <v>240</v>
      </c>
      <c r="AC51" s="31">
        <v>5551186127</v>
      </c>
      <c r="AD51" s="31">
        <v>5514544539</v>
      </c>
    </row>
    <row r="52" spans="1:30" x14ac:dyDescent="0.2">
      <c r="A52" s="26">
        <v>11012</v>
      </c>
      <c r="B52" s="26">
        <f>VLOOKUP(A52,Hoja1!A:A,1,FALSE)</f>
        <v>11012</v>
      </c>
      <c r="C52" s="27" t="s">
        <v>89</v>
      </c>
      <c r="D52" s="28" t="s">
        <v>48</v>
      </c>
      <c r="E52" s="29" t="s">
        <v>8</v>
      </c>
      <c r="F52" s="29" t="s">
        <v>8</v>
      </c>
      <c r="G52" s="30">
        <v>33217</v>
      </c>
      <c r="H52" s="26" t="s">
        <v>49</v>
      </c>
      <c r="I52" s="26" t="s">
        <v>110</v>
      </c>
      <c r="J52" s="26" t="s">
        <v>110</v>
      </c>
      <c r="K52" s="26">
        <v>10320</v>
      </c>
      <c r="L52" s="31" t="s">
        <v>2295</v>
      </c>
      <c r="M52" s="26">
        <v>5645</v>
      </c>
      <c r="N52" s="31" t="s">
        <v>242</v>
      </c>
      <c r="O52" s="26">
        <v>5580181211</v>
      </c>
      <c r="P52" s="29" t="s">
        <v>2172</v>
      </c>
      <c r="Q52" s="31" t="s">
        <v>9</v>
      </c>
      <c r="R52" s="26">
        <v>5551722172</v>
      </c>
      <c r="S52" s="31" t="s">
        <v>2213</v>
      </c>
      <c r="T52" s="26" t="s">
        <v>2254</v>
      </c>
      <c r="U52" s="31" t="s">
        <v>2253</v>
      </c>
      <c r="V52" s="31" t="s">
        <v>396</v>
      </c>
      <c r="W52" s="31" t="s">
        <v>89</v>
      </c>
      <c r="X52" s="31" t="s">
        <v>397</v>
      </c>
      <c r="Y52" s="31">
        <v>6010</v>
      </c>
      <c r="Z52" s="31" t="s">
        <v>57</v>
      </c>
      <c r="AA52" s="31" t="s">
        <v>57</v>
      </c>
      <c r="AB52" s="31" t="s">
        <v>398</v>
      </c>
      <c r="AC52" s="31">
        <v>5557098850</v>
      </c>
      <c r="AD52" s="31">
        <v>5557095560</v>
      </c>
    </row>
    <row r="53" spans="1:30" x14ac:dyDescent="0.2">
      <c r="A53" s="26">
        <v>11106</v>
      </c>
      <c r="B53" s="26">
        <f>VLOOKUP(A53,Hoja1!A:A,1,FALSE)</f>
        <v>11106</v>
      </c>
      <c r="C53" s="27" t="s">
        <v>399</v>
      </c>
      <c r="D53" s="28" t="s">
        <v>48</v>
      </c>
      <c r="E53" s="29" t="s">
        <v>8</v>
      </c>
      <c r="F53" s="29" t="s">
        <v>8</v>
      </c>
      <c r="G53" s="30">
        <v>34218</v>
      </c>
      <c r="H53" s="26" t="s">
        <v>49</v>
      </c>
      <c r="I53" s="26" t="s">
        <v>110</v>
      </c>
      <c r="J53" s="26" t="s">
        <v>110</v>
      </c>
      <c r="K53" s="26">
        <v>25805</v>
      </c>
      <c r="L53" s="31" t="s">
        <v>2296</v>
      </c>
      <c r="M53" s="26">
        <v>5645</v>
      </c>
      <c r="N53" s="31" t="s">
        <v>242</v>
      </c>
      <c r="O53" s="26">
        <v>5580181211</v>
      </c>
      <c r="P53" s="29" t="s">
        <v>2172</v>
      </c>
      <c r="Q53" s="31" t="s">
        <v>9</v>
      </c>
      <c r="R53" s="26">
        <v>5551722172</v>
      </c>
      <c r="S53" s="31" t="s">
        <v>2213</v>
      </c>
      <c r="T53" s="26" t="s">
        <v>2254</v>
      </c>
      <c r="U53" s="31" t="s">
        <v>2253</v>
      </c>
      <c r="V53" s="31" t="s">
        <v>400</v>
      </c>
      <c r="W53" s="31" t="s">
        <v>401</v>
      </c>
      <c r="X53" s="31" t="s">
        <v>397</v>
      </c>
      <c r="Y53" s="31">
        <v>15900</v>
      </c>
      <c r="Z53" s="31" t="s">
        <v>57</v>
      </c>
      <c r="AA53" s="31" t="s">
        <v>57</v>
      </c>
      <c r="AB53" s="31" t="s">
        <v>402</v>
      </c>
      <c r="AC53" s="31">
        <v>5555714012</v>
      </c>
      <c r="AD53" s="31">
        <v>5557859151</v>
      </c>
    </row>
    <row r="54" spans="1:30" x14ac:dyDescent="0.2">
      <c r="A54" s="26">
        <v>11143</v>
      </c>
      <c r="B54" s="26">
        <f>VLOOKUP(A54,Hoja1!A:A,1,FALSE)</f>
        <v>11143</v>
      </c>
      <c r="C54" s="27" t="s">
        <v>403</v>
      </c>
      <c r="D54" s="28" t="s">
        <v>48</v>
      </c>
      <c r="E54" s="29" t="s">
        <v>8</v>
      </c>
      <c r="F54" s="29" t="s">
        <v>8</v>
      </c>
      <c r="G54" s="30">
        <v>35338</v>
      </c>
      <c r="H54" s="26" t="s">
        <v>49</v>
      </c>
      <c r="I54" s="26" t="s">
        <v>110</v>
      </c>
      <c r="J54" s="26" t="s">
        <v>110</v>
      </c>
      <c r="K54" s="26">
        <v>13497</v>
      </c>
      <c r="L54" s="31" t="s">
        <v>2297</v>
      </c>
      <c r="M54" s="26">
        <v>5645</v>
      </c>
      <c r="N54" s="31" t="s">
        <v>242</v>
      </c>
      <c r="O54" s="26">
        <v>5580181211</v>
      </c>
      <c r="P54" s="29" t="s">
        <v>2172</v>
      </c>
      <c r="Q54" s="31" t="s">
        <v>9</v>
      </c>
      <c r="R54" s="26">
        <v>5551722172</v>
      </c>
      <c r="S54" s="31" t="s">
        <v>2213</v>
      </c>
      <c r="T54" s="26" t="s">
        <v>2254</v>
      </c>
      <c r="U54" s="31" t="s">
        <v>2253</v>
      </c>
      <c r="V54" s="31" t="s">
        <v>404</v>
      </c>
      <c r="W54" s="31" t="s">
        <v>405</v>
      </c>
      <c r="X54" s="31" t="s">
        <v>406</v>
      </c>
      <c r="Y54" s="31">
        <v>9420</v>
      </c>
      <c r="Z54" s="31" t="s">
        <v>57</v>
      </c>
      <c r="AA54" s="31" t="s">
        <v>57</v>
      </c>
      <c r="AB54" s="31" t="s">
        <v>407</v>
      </c>
      <c r="AC54" s="31">
        <v>5576527916</v>
      </c>
      <c r="AD54" s="31">
        <v>5556548004</v>
      </c>
    </row>
    <row r="55" spans="1:30" x14ac:dyDescent="0.2">
      <c r="A55" s="26">
        <v>11173</v>
      </c>
      <c r="B55" s="26">
        <f>VLOOKUP(A55,Hoja1!A:A,1,FALSE)</f>
        <v>11173</v>
      </c>
      <c r="C55" s="27" t="s">
        <v>408</v>
      </c>
      <c r="D55" s="28" t="s">
        <v>48</v>
      </c>
      <c r="E55" s="29" t="s">
        <v>8</v>
      </c>
      <c r="F55" s="29" t="s">
        <v>8</v>
      </c>
      <c r="G55" s="30">
        <v>35808</v>
      </c>
      <c r="H55" s="26" t="s">
        <v>49</v>
      </c>
      <c r="I55" s="26" t="s">
        <v>110</v>
      </c>
      <c r="J55" s="26" t="s">
        <v>110</v>
      </c>
      <c r="K55" s="26">
        <v>2803</v>
      </c>
      <c r="L55" s="31" t="s">
        <v>2298</v>
      </c>
      <c r="M55" s="26">
        <v>5645</v>
      </c>
      <c r="N55" s="31" t="s">
        <v>242</v>
      </c>
      <c r="O55" s="26">
        <v>5580181211</v>
      </c>
      <c r="P55" s="29" t="s">
        <v>2172</v>
      </c>
      <c r="Q55" s="31" t="s">
        <v>9</v>
      </c>
      <c r="R55" s="26">
        <v>5551722172</v>
      </c>
      <c r="S55" s="31" t="s">
        <v>2213</v>
      </c>
      <c r="T55" s="26" t="s">
        <v>2254</v>
      </c>
      <c r="U55" s="31" t="s">
        <v>2253</v>
      </c>
      <c r="V55" s="31" t="s">
        <v>409</v>
      </c>
      <c r="W55" s="31" t="s">
        <v>410</v>
      </c>
      <c r="X55" s="31" t="s">
        <v>397</v>
      </c>
      <c r="Y55" s="31">
        <v>15300</v>
      </c>
      <c r="Z55" s="31" t="s">
        <v>57</v>
      </c>
      <c r="AA55" s="31" t="s">
        <v>57</v>
      </c>
      <c r="AB55" s="31" t="s">
        <v>411</v>
      </c>
      <c r="AC55" s="31">
        <v>5557020075</v>
      </c>
      <c r="AD55" s="31">
        <v>5557022141</v>
      </c>
    </row>
    <row r="56" spans="1:30" x14ac:dyDescent="0.2">
      <c r="A56" s="26">
        <v>11243</v>
      </c>
      <c r="B56" s="26">
        <f>VLOOKUP(A56,Hoja1!A:A,1,FALSE)</f>
        <v>11243</v>
      </c>
      <c r="C56" s="27" t="s">
        <v>412</v>
      </c>
      <c r="D56" s="28" t="s">
        <v>48</v>
      </c>
      <c r="E56" s="29" t="s">
        <v>8</v>
      </c>
      <c r="F56" s="29" t="s">
        <v>8</v>
      </c>
      <c r="G56" s="30">
        <v>36483</v>
      </c>
      <c r="H56" s="26" t="s">
        <v>49</v>
      </c>
      <c r="I56" s="26" t="s">
        <v>110</v>
      </c>
      <c r="J56" s="26" t="s">
        <v>110</v>
      </c>
      <c r="K56" s="26">
        <v>47771</v>
      </c>
      <c r="L56" s="31" t="s">
        <v>2299</v>
      </c>
      <c r="M56" s="26">
        <v>5645</v>
      </c>
      <c r="N56" s="31" t="s">
        <v>242</v>
      </c>
      <c r="O56" s="26">
        <v>5580181211</v>
      </c>
      <c r="P56" s="29" t="s">
        <v>2172</v>
      </c>
      <c r="Q56" s="31" t="s">
        <v>9</v>
      </c>
      <c r="R56" s="26">
        <v>5551722172</v>
      </c>
      <c r="S56" s="31" t="s">
        <v>2213</v>
      </c>
      <c r="T56" s="26" t="s">
        <v>2254</v>
      </c>
      <c r="U56" s="31" t="s">
        <v>2253</v>
      </c>
      <c r="V56" s="31" t="s">
        <v>413</v>
      </c>
      <c r="W56" s="31" t="s">
        <v>414</v>
      </c>
      <c r="X56" s="31" t="s">
        <v>406</v>
      </c>
      <c r="Y56" s="31">
        <v>9020</v>
      </c>
      <c r="Z56" s="31" t="s">
        <v>57</v>
      </c>
      <c r="AA56" s="31" t="s">
        <v>57</v>
      </c>
      <c r="AB56" s="31" t="s">
        <v>415</v>
      </c>
      <c r="AC56" s="31">
        <v>5556008319</v>
      </c>
      <c r="AD56" s="31">
        <v>5556941818</v>
      </c>
    </row>
    <row r="57" spans="1:30" x14ac:dyDescent="0.2">
      <c r="A57" s="26">
        <v>11345</v>
      </c>
      <c r="B57" s="26">
        <f>VLOOKUP(A57,Hoja1!A:A,1,FALSE)</f>
        <v>11345</v>
      </c>
      <c r="C57" s="27" t="s">
        <v>416</v>
      </c>
      <c r="D57" s="28" t="s">
        <v>48</v>
      </c>
      <c r="E57" s="29" t="s">
        <v>8</v>
      </c>
      <c r="F57" s="29" t="s">
        <v>8</v>
      </c>
      <c r="G57" s="30">
        <v>36970</v>
      </c>
      <c r="H57" s="26" t="s">
        <v>49</v>
      </c>
      <c r="I57" s="26" t="s">
        <v>110</v>
      </c>
      <c r="J57" s="26" t="s">
        <v>110</v>
      </c>
      <c r="K57" s="26">
        <v>27744</v>
      </c>
      <c r="L57" s="31" t="s">
        <v>2300</v>
      </c>
      <c r="M57" s="26">
        <v>5645</v>
      </c>
      <c r="N57" s="31" t="s">
        <v>242</v>
      </c>
      <c r="O57" s="26">
        <v>5580181211</v>
      </c>
      <c r="P57" s="29" t="s">
        <v>2172</v>
      </c>
      <c r="Q57" s="31" t="s">
        <v>9</v>
      </c>
      <c r="R57" s="26">
        <v>5551722172</v>
      </c>
      <c r="S57" s="31" t="s">
        <v>2213</v>
      </c>
      <c r="T57" s="26" t="s">
        <v>2254</v>
      </c>
      <c r="U57" s="31" t="s">
        <v>2253</v>
      </c>
      <c r="V57" s="31" t="s">
        <v>417</v>
      </c>
      <c r="W57" s="31" t="s">
        <v>418</v>
      </c>
      <c r="X57" s="31" t="s">
        <v>64</v>
      </c>
      <c r="Y57" s="31">
        <v>6800</v>
      </c>
      <c r="Z57" s="31" t="s">
        <v>57</v>
      </c>
      <c r="AA57" s="31" t="s">
        <v>57</v>
      </c>
      <c r="AB57" s="31" t="s">
        <v>419</v>
      </c>
      <c r="AC57" s="31">
        <v>5555193777</v>
      </c>
      <c r="AD57" s="31">
        <v>5555383333</v>
      </c>
    </row>
    <row r="58" spans="1:30" x14ac:dyDescent="0.2">
      <c r="A58" s="26">
        <v>11844</v>
      </c>
      <c r="B58" s="26">
        <f>VLOOKUP(A58,Hoja1!A:A,1,FALSE)</f>
        <v>11844</v>
      </c>
      <c r="C58" s="27" t="s">
        <v>420</v>
      </c>
      <c r="D58" s="28" t="s">
        <v>48</v>
      </c>
      <c r="E58" s="29" t="s">
        <v>8</v>
      </c>
      <c r="F58" s="29" t="s">
        <v>8</v>
      </c>
      <c r="G58" s="30">
        <v>37598</v>
      </c>
      <c r="H58" s="26" t="s">
        <v>49</v>
      </c>
      <c r="I58" s="26" t="s">
        <v>50</v>
      </c>
      <c r="J58" s="26" t="s">
        <v>87</v>
      </c>
      <c r="K58" s="26">
        <v>42139</v>
      </c>
      <c r="L58" s="31" t="s">
        <v>2301</v>
      </c>
      <c r="M58" s="26">
        <v>5645</v>
      </c>
      <c r="N58" s="31" t="s">
        <v>242</v>
      </c>
      <c r="O58" s="26">
        <v>5580181211</v>
      </c>
      <c r="P58" s="29" t="s">
        <v>2172</v>
      </c>
      <c r="Q58" s="31" t="s">
        <v>9</v>
      </c>
      <c r="R58" s="26">
        <v>5551722172</v>
      </c>
      <c r="S58" s="31" t="s">
        <v>2213</v>
      </c>
      <c r="T58" s="26" t="s">
        <v>2254</v>
      </c>
      <c r="U58" s="31" t="s">
        <v>2253</v>
      </c>
      <c r="V58" s="31" t="s">
        <v>421</v>
      </c>
      <c r="W58" s="31" t="s">
        <v>89</v>
      </c>
      <c r="X58" s="31" t="s">
        <v>64</v>
      </c>
      <c r="Y58" s="31">
        <v>6010</v>
      </c>
      <c r="Z58" s="31" t="s">
        <v>57</v>
      </c>
      <c r="AA58" s="31" t="s">
        <v>57</v>
      </c>
      <c r="AB58" s="31" t="s">
        <v>422</v>
      </c>
      <c r="AC58" s="31">
        <v>5555184703</v>
      </c>
      <c r="AD58" s="31">
        <v>5555184703</v>
      </c>
    </row>
    <row r="59" spans="1:30" x14ac:dyDescent="0.2">
      <c r="A59" s="26">
        <v>11871</v>
      </c>
      <c r="B59" s="26">
        <f>VLOOKUP(A59,Hoja1!A:A,1,FALSE)</f>
        <v>11871</v>
      </c>
      <c r="C59" s="27" t="s">
        <v>423</v>
      </c>
      <c r="D59" s="28" t="s">
        <v>48</v>
      </c>
      <c r="E59" s="29" t="s">
        <v>8</v>
      </c>
      <c r="F59" s="29" t="s">
        <v>8</v>
      </c>
      <c r="G59" s="30">
        <v>38689</v>
      </c>
      <c r="H59" s="26" t="s">
        <v>49</v>
      </c>
      <c r="I59" s="26" t="s">
        <v>50</v>
      </c>
      <c r="J59" s="26" t="s">
        <v>153</v>
      </c>
      <c r="K59" s="26">
        <v>12812</v>
      </c>
      <c r="L59" s="31" t="s">
        <v>2302</v>
      </c>
      <c r="M59" s="26">
        <v>5645</v>
      </c>
      <c r="N59" s="31" t="s">
        <v>242</v>
      </c>
      <c r="O59" s="26">
        <v>5580181211</v>
      </c>
      <c r="P59" s="29" t="s">
        <v>2172</v>
      </c>
      <c r="Q59" s="31" t="s">
        <v>9</v>
      </c>
      <c r="R59" s="26">
        <v>5551722172</v>
      </c>
      <c r="S59" s="31" t="s">
        <v>2213</v>
      </c>
      <c r="T59" s="26" t="s">
        <v>2254</v>
      </c>
      <c r="U59" s="31" t="s">
        <v>2253</v>
      </c>
      <c r="V59" s="31" t="s">
        <v>424</v>
      </c>
      <c r="W59" s="31" t="s">
        <v>425</v>
      </c>
      <c r="X59" s="31" t="s">
        <v>56</v>
      </c>
      <c r="Y59" s="31">
        <v>3020</v>
      </c>
      <c r="Z59" s="31" t="s">
        <v>57</v>
      </c>
      <c r="AA59" s="31" t="s">
        <v>57</v>
      </c>
      <c r="AB59" s="31" t="s">
        <v>426</v>
      </c>
      <c r="AC59" s="31">
        <v>5555195825</v>
      </c>
      <c r="AD59" s="31">
        <v>5555195825</v>
      </c>
    </row>
    <row r="60" spans="1:30" x14ac:dyDescent="0.2">
      <c r="A60" s="26">
        <v>11891</v>
      </c>
      <c r="B60" s="26">
        <f>VLOOKUP(A60,Hoja1!A:A,1,FALSE)</f>
        <v>11891</v>
      </c>
      <c r="C60" s="27" t="s">
        <v>427</v>
      </c>
      <c r="D60" s="28" t="s">
        <v>48</v>
      </c>
      <c r="E60" s="29" t="s">
        <v>8</v>
      </c>
      <c r="F60" s="29" t="s">
        <v>8</v>
      </c>
      <c r="G60" s="30">
        <v>39459</v>
      </c>
      <c r="H60" s="26" t="s">
        <v>49</v>
      </c>
      <c r="I60" s="26" t="s">
        <v>50</v>
      </c>
      <c r="J60" s="26" t="s">
        <v>153</v>
      </c>
      <c r="K60" s="26">
        <v>26087</v>
      </c>
      <c r="L60" s="31" t="s">
        <v>2303</v>
      </c>
      <c r="M60" s="26">
        <v>5645</v>
      </c>
      <c r="N60" s="31" t="s">
        <v>242</v>
      </c>
      <c r="O60" s="26">
        <v>5580181211</v>
      </c>
      <c r="P60" s="29" t="s">
        <v>2172</v>
      </c>
      <c r="Q60" s="31" t="s">
        <v>9</v>
      </c>
      <c r="R60" s="26">
        <v>5551722172</v>
      </c>
      <c r="S60" s="31" t="s">
        <v>2213</v>
      </c>
      <c r="T60" s="26" t="s">
        <v>2254</v>
      </c>
      <c r="U60" s="31" t="s">
        <v>2253</v>
      </c>
      <c r="V60" s="31" t="s">
        <v>428</v>
      </c>
      <c r="W60" s="31" t="s">
        <v>429</v>
      </c>
      <c r="X60" s="31" t="s">
        <v>406</v>
      </c>
      <c r="Y60" s="31">
        <v>9020</v>
      </c>
      <c r="Z60" s="31" t="s">
        <v>57</v>
      </c>
      <c r="AA60" s="31" t="s">
        <v>57</v>
      </c>
      <c r="AB60" s="31" t="s">
        <v>430</v>
      </c>
      <c r="AC60" s="31">
        <v>5591290019</v>
      </c>
      <c r="AD60" s="31">
        <v>5591290019</v>
      </c>
    </row>
    <row r="61" spans="1:30" x14ac:dyDescent="0.2">
      <c r="A61" s="26">
        <v>11939</v>
      </c>
      <c r="B61" s="26">
        <f>VLOOKUP(A61,Hoja1!A:A,1,FALSE)</f>
        <v>11939</v>
      </c>
      <c r="C61" s="27" t="s">
        <v>431</v>
      </c>
      <c r="D61" s="28" t="s">
        <v>48</v>
      </c>
      <c r="E61" s="29" t="s">
        <v>8</v>
      </c>
      <c r="F61" s="29" t="s">
        <v>8</v>
      </c>
      <c r="G61" s="30">
        <v>41683</v>
      </c>
      <c r="H61" s="26" t="s">
        <v>49</v>
      </c>
      <c r="I61" s="26" t="s">
        <v>110</v>
      </c>
      <c r="J61" s="26" t="s">
        <v>110</v>
      </c>
      <c r="K61" s="26">
        <v>39879</v>
      </c>
      <c r="L61" s="31" t="s">
        <v>2304</v>
      </c>
      <c r="M61" s="26">
        <v>5645</v>
      </c>
      <c r="N61" s="31" t="s">
        <v>242</v>
      </c>
      <c r="O61" s="26">
        <v>5580181211</v>
      </c>
      <c r="P61" s="29" t="s">
        <v>2172</v>
      </c>
      <c r="Q61" s="31" t="s">
        <v>9</v>
      </c>
      <c r="R61" s="26">
        <v>5551722172</v>
      </c>
      <c r="S61" s="31" t="s">
        <v>2213</v>
      </c>
      <c r="T61" s="26" t="s">
        <v>2254</v>
      </c>
      <c r="U61" s="31" t="s">
        <v>2253</v>
      </c>
      <c r="V61" s="31" t="s">
        <v>432</v>
      </c>
      <c r="W61" s="31" t="s">
        <v>433</v>
      </c>
      <c r="X61" s="31" t="s">
        <v>397</v>
      </c>
      <c r="Y61" s="31">
        <v>15540</v>
      </c>
      <c r="Z61" s="31" t="s">
        <v>57</v>
      </c>
      <c r="AA61" s="31" t="s">
        <v>57</v>
      </c>
      <c r="AB61" s="31" t="s">
        <v>434</v>
      </c>
      <c r="AC61" s="31">
        <v>5555713970</v>
      </c>
      <c r="AD61" s="31">
        <v>5555713979</v>
      </c>
    </row>
    <row r="62" spans="1:30" x14ac:dyDescent="0.2">
      <c r="A62" s="26">
        <v>12321</v>
      </c>
      <c r="B62" s="26">
        <f>VLOOKUP(A62,Hoja1!A:A,1,FALSE)</f>
        <v>12321</v>
      </c>
      <c r="C62" s="27" t="s">
        <v>435</v>
      </c>
      <c r="D62" s="28" t="s">
        <v>48</v>
      </c>
      <c r="E62" s="29" t="s">
        <v>8</v>
      </c>
      <c r="F62" s="29" t="s">
        <v>8</v>
      </c>
      <c r="G62" s="30">
        <v>43420</v>
      </c>
      <c r="H62" s="26" t="s">
        <v>49</v>
      </c>
      <c r="I62" s="26" t="s">
        <v>110</v>
      </c>
      <c r="J62" s="26" t="s">
        <v>110</v>
      </c>
      <c r="K62" s="26">
        <v>43610</v>
      </c>
      <c r="L62" s="31" t="s">
        <v>2305</v>
      </c>
      <c r="M62" s="26">
        <v>5645</v>
      </c>
      <c r="N62" s="31" t="s">
        <v>242</v>
      </c>
      <c r="O62" s="26">
        <v>5580181211</v>
      </c>
      <c r="P62" s="29" t="s">
        <v>2172</v>
      </c>
      <c r="Q62" s="31" t="s">
        <v>9</v>
      </c>
      <c r="R62" s="26">
        <v>5551722172</v>
      </c>
      <c r="S62" s="31" t="s">
        <v>2213</v>
      </c>
      <c r="T62" s="26" t="s">
        <v>2254</v>
      </c>
      <c r="U62" s="31" t="s">
        <v>2253</v>
      </c>
      <c r="V62" s="31" t="s">
        <v>436</v>
      </c>
      <c r="W62" s="31" t="s">
        <v>437</v>
      </c>
      <c r="X62" s="31" t="s">
        <v>397</v>
      </c>
      <c r="Y62" s="31">
        <v>15850</v>
      </c>
      <c r="Z62" s="31" t="s">
        <v>57</v>
      </c>
      <c r="AA62" s="31" t="s">
        <v>57</v>
      </c>
      <c r="AB62" s="31" t="s">
        <v>438</v>
      </c>
      <c r="AC62" s="31" t="s">
        <v>2220</v>
      </c>
      <c r="AD62" s="31">
        <v>5514544533</v>
      </c>
    </row>
    <row r="63" spans="1:30" x14ac:dyDescent="0.2">
      <c r="A63" s="26">
        <v>11017</v>
      </c>
      <c r="B63" s="26">
        <f>VLOOKUP(A63,Hoja1!A:A,1,FALSE)</f>
        <v>11017</v>
      </c>
      <c r="C63" s="27" t="s">
        <v>1966</v>
      </c>
      <c r="D63" s="28" t="s">
        <v>48</v>
      </c>
      <c r="E63" s="29" t="s">
        <v>8</v>
      </c>
      <c r="F63" s="29" t="s">
        <v>8</v>
      </c>
      <c r="G63" s="30">
        <v>33238</v>
      </c>
      <c r="H63" s="26" t="s">
        <v>49</v>
      </c>
      <c r="I63" s="26" t="s">
        <v>110</v>
      </c>
      <c r="J63" s="26" t="s">
        <v>110</v>
      </c>
      <c r="K63" s="26">
        <v>50581</v>
      </c>
      <c r="L63" s="31" t="s">
        <v>2306</v>
      </c>
      <c r="M63" s="26">
        <v>4968</v>
      </c>
      <c r="N63" s="31" t="s">
        <v>275</v>
      </c>
      <c r="O63" s="26">
        <v>5575052416</v>
      </c>
      <c r="P63" s="29" t="s">
        <v>2169</v>
      </c>
      <c r="Q63" s="31" t="s">
        <v>9</v>
      </c>
      <c r="R63" s="26">
        <v>5551722172</v>
      </c>
      <c r="S63" s="31" t="s">
        <v>2213</v>
      </c>
      <c r="T63" s="26" t="s">
        <v>2254</v>
      </c>
      <c r="U63" s="31" t="s">
        <v>2253</v>
      </c>
      <c r="V63" s="31" t="s">
        <v>276</v>
      </c>
      <c r="W63" s="31" t="s">
        <v>277</v>
      </c>
      <c r="X63" s="31" t="s">
        <v>99</v>
      </c>
      <c r="Y63" s="31">
        <v>53100</v>
      </c>
      <c r="Z63" s="31" t="s">
        <v>118</v>
      </c>
      <c r="AA63" s="31" t="s">
        <v>118</v>
      </c>
      <c r="AB63" s="31" t="s">
        <v>278</v>
      </c>
      <c r="AC63" s="31">
        <v>5553933001</v>
      </c>
      <c r="AD63" s="31">
        <v>5553933001</v>
      </c>
    </row>
    <row r="64" spans="1:30" x14ac:dyDescent="0.2">
      <c r="A64" s="26">
        <v>11018</v>
      </c>
      <c r="B64" s="26">
        <f>VLOOKUP(A64,Hoja1!A:A,1,FALSE)</f>
        <v>11018</v>
      </c>
      <c r="C64" s="27" t="s">
        <v>279</v>
      </c>
      <c r="D64" s="28" t="s">
        <v>48</v>
      </c>
      <c r="E64" s="29" t="s">
        <v>8</v>
      </c>
      <c r="F64" s="29" t="s">
        <v>8</v>
      </c>
      <c r="G64" s="30">
        <v>33228</v>
      </c>
      <c r="H64" s="26" t="s">
        <v>49</v>
      </c>
      <c r="I64" s="26" t="s">
        <v>110</v>
      </c>
      <c r="J64" s="26" t="s">
        <v>110</v>
      </c>
      <c r="K64" s="26">
        <v>26861</v>
      </c>
      <c r="L64" s="31" t="s">
        <v>2307</v>
      </c>
      <c r="M64" s="26">
        <v>4968</v>
      </c>
      <c r="N64" s="31" t="s">
        <v>275</v>
      </c>
      <c r="O64" s="26">
        <v>5575052416</v>
      </c>
      <c r="P64" s="29" t="s">
        <v>2169</v>
      </c>
      <c r="Q64" s="31" t="s">
        <v>9</v>
      </c>
      <c r="R64" s="26">
        <v>5551722172</v>
      </c>
      <c r="S64" s="31" t="s">
        <v>2213</v>
      </c>
      <c r="T64" s="26" t="s">
        <v>2254</v>
      </c>
      <c r="U64" s="31" t="s">
        <v>2253</v>
      </c>
      <c r="V64" s="31" t="s">
        <v>280</v>
      </c>
      <c r="W64" s="31" t="s">
        <v>279</v>
      </c>
      <c r="X64" s="31" t="s">
        <v>99</v>
      </c>
      <c r="Y64" s="31">
        <v>53160</v>
      </c>
      <c r="Z64" s="31" t="s">
        <v>118</v>
      </c>
      <c r="AA64" s="31" t="s">
        <v>118</v>
      </c>
      <c r="AB64" s="31" t="s">
        <v>281</v>
      </c>
      <c r="AC64" s="31">
        <v>5527108599</v>
      </c>
      <c r="AD64" s="31">
        <v>5555603355</v>
      </c>
    </row>
    <row r="65" spans="1:30" x14ac:dyDescent="0.2">
      <c r="A65" s="26">
        <v>11024</v>
      </c>
      <c r="B65" s="26">
        <f>VLOOKUP(A65,Hoja1!A:A,1,FALSE)</f>
        <v>11024</v>
      </c>
      <c r="C65" s="27" t="s">
        <v>282</v>
      </c>
      <c r="D65" s="28" t="s">
        <v>48</v>
      </c>
      <c r="E65" s="29" t="s">
        <v>8</v>
      </c>
      <c r="F65" s="29" t="s">
        <v>8</v>
      </c>
      <c r="G65" s="30">
        <v>33399</v>
      </c>
      <c r="H65" s="26" t="s">
        <v>49</v>
      </c>
      <c r="I65" s="26" t="s">
        <v>110</v>
      </c>
      <c r="J65" s="26" t="s">
        <v>110</v>
      </c>
      <c r="K65" s="26">
        <v>27652</v>
      </c>
      <c r="L65" s="31" t="s">
        <v>2308</v>
      </c>
      <c r="M65" s="26">
        <v>4968</v>
      </c>
      <c r="N65" s="31" t="s">
        <v>275</v>
      </c>
      <c r="O65" s="26">
        <v>5575052416</v>
      </c>
      <c r="P65" s="29" t="s">
        <v>2169</v>
      </c>
      <c r="Q65" s="31" t="s">
        <v>9</v>
      </c>
      <c r="R65" s="26">
        <v>5551722172</v>
      </c>
      <c r="S65" s="31" t="s">
        <v>2213</v>
      </c>
      <c r="T65" s="26" t="s">
        <v>2254</v>
      </c>
      <c r="U65" s="31" t="s">
        <v>2253</v>
      </c>
      <c r="V65" s="31" t="s">
        <v>283</v>
      </c>
      <c r="W65" s="31" t="s">
        <v>284</v>
      </c>
      <c r="X65" s="31" t="s">
        <v>99</v>
      </c>
      <c r="Y65" s="31">
        <v>53140</v>
      </c>
      <c r="Z65" s="31" t="s">
        <v>285</v>
      </c>
      <c r="AA65" s="31" t="s">
        <v>118</v>
      </c>
      <c r="AB65" s="31" t="s">
        <v>286</v>
      </c>
      <c r="AC65" s="31">
        <v>5527032203</v>
      </c>
      <c r="AD65" s="31">
        <v>5553631222</v>
      </c>
    </row>
    <row r="66" spans="1:30" x14ac:dyDescent="0.2">
      <c r="A66" s="26">
        <v>11057</v>
      </c>
      <c r="B66" s="26">
        <f>VLOOKUP(A66,Hoja1!A:A,1,FALSE)</f>
        <v>11057</v>
      </c>
      <c r="C66" s="27" t="s">
        <v>287</v>
      </c>
      <c r="D66" s="28" t="s">
        <v>48</v>
      </c>
      <c r="E66" s="29" t="s">
        <v>8</v>
      </c>
      <c r="F66" s="29" t="s">
        <v>8</v>
      </c>
      <c r="G66" s="30">
        <v>33742</v>
      </c>
      <c r="H66" s="26" t="s">
        <v>49</v>
      </c>
      <c r="I66" s="26" t="s">
        <v>110</v>
      </c>
      <c r="J66" s="26" t="s">
        <v>110</v>
      </c>
      <c r="K66" s="26">
        <v>29519</v>
      </c>
      <c r="L66" s="31" t="s">
        <v>2309</v>
      </c>
      <c r="M66" s="26">
        <v>4968</v>
      </c>
      <c r="N66" s="31" t="s">
        <v>275</v>
      </c>
      <c r="O66" s="26">
        <v>5575052416</v>
      </c>
      <c r="P66" s="29" t="s">
        <v>2169</v>
      </c>
      <c r="Q66" s="31" t="s">
        <v>9</v>
      </c>
      <c r="R66" s="26">
        <v>5551722172</v>
      </c>
      <c r="S66" s="31" t="s">
        <v>2213</v>
      </c>
      <c r="T66" s="26" t="s">
        <v>2254</v>
      </c>
      <c r="U66" s="31" t="s">
        <v>2253</v>
      </c>
      <c r="V66" s="31" t="s">
        <v>288</v>
      </c>
      <c r="W66" s="31" t="s">
        <v>289</v>
      </c>
      <c r="X66" s="31" t="s">
        <v>99</v>
      </c>
      <c r="Y66" s="31">
        <v>52900</v>
      </c>
      <c r="Z66" s="31" t="s">
        <v>118</v>
      </c>
      <c r="AA66" s="31" t="s">
        <v>118</v>
      </c>
      <c r="AB66" s="31" t="s">
        <v>290</v>
      </c>
      <c r="AC66" s="31">
        <v>5558241109</v>
      </c>
      <c r="AD66" s="31">
        <v>5558241109</v>
      </c>
    </row>
    <row r="67" spans="1:30" x14ac:dyDescent="0.2">
      <c r="A67" s="26">
        <v>11153</v>
      </c>
      <c r="B67" s="26">
        <f>VLOOKUP(A67,Hoja1!A:A,1,FALSE)</f>
        <v>11153</v>
      </c>
      <c r="C67" s="27" t="s">
        <v>273</v>
      </c>
      <c r="D67" s="28" t="s">
        <v>48</v>
      </c>
      <c r="E67" s="29" t="s">
        <v>8</v>
      </c>
      <c r="F67" s="29" t="s">
        <v>8</v>
      </c>
      <c r="G67" s="30">
        <v>35688</v>
      </c>
      <c r="H67" s="26" t="s">
        <v>49</v>
      </c>
      <c r="I67" s="26" t="s">
        <v>110</v>
      </c>
      <c r="J67" s="26" t="s">
        <v>110</v>
      </c>
      <c r="K67" s="26">
        <v>50705</v>
      </c>
      <c r="L67" s="31" t="s">
        <v>2310</v>
      </c>
      <c r="M67" s="26">
        <v>4968</v>
      </c>
      <c r="N67" s="31" t="s">
        <v>275</v>
      </c>
      <c r="O67" s="26">
        <v>5575052416</v>
      </c>
      <c r="P67" s="29" t="s">
        <v>2169</v>
      </c>
      <c r="Q67" s="31" t="s">
        <v>9</v>
      </c>
      <c r="R67" s="26">
        <v>5551722172</v>
      </c>
      <c r="S67" s="31" t="s">
        <v>2213</v>
      </c>
      <c r="T67" s="26" t="s">
        <v>2254</v>
      </c>
      <c r="U67" s="31" t="s">
        <v>2253</v>
      </c>
      <c r="V67" s="31" t="s">
        <v>291</v>
      </c>
      <c r="W67" s="31" t="s">
        <v>89</v>
      </c>
      <c r="X67" s="31" t="s">
        <v>99</v>
      </c>
      <c r="Y67" s="31">
        <v>54060</v>
      </c>
      <c r="Z67" s="31" t="s">
        <v>118</v>
      </c>
      <c r="AA67" s="31" t="s">
        <v>118</v>
      </c>
      <c r="AB67" s="31" t="s">
        <v>292</v>
      </c>
      <c r="AC67" s="31">
        <v>5527371344</v>
      </c>
      <c r="AD67" s="31">
        <v>5553902077</v>
      </c>
    </row>
    <row r="68" spans="1:30" x14ac:dyDescent="0.2">
      <c r="A68" s="26">
        <v>11206</v>
      </c>
      <c r="B68" s="26">
        <f>VLOOKUP(A68,Hoja1!A:A,1,FALSE)</f>
        <v>11206</v>
      </c>
      <c r="C68" s="27" t="s">
        <v>293</v>
      </c>
      <c r="D68" s="28" t="s">
        <v>48</v>
      </c>
      <c r="E68" s="29" t="s">
        <v>8</v>
      </c>
      <c r="F68" s="29" t="s">
        <v>8</v>
      </c>
      <c r="G68" s="30">
        <v>36136</v>
      </c>
      <c r="H68" s="26" t="s">
        <v>49</v>
      </c>
      <c r="I68" s="26" t="s">
        <v>110</v>
      </c>
      <c r="J68" s="26" t="s">
        <v>110</v>
      </c>
      <c r="K68" s="26">
        <v>50664</v>
      </c>
      <c r="L68" s="31" t="s">
        <v>2311</v>
      </c>
      <c r="M68" s="26">
        <v>4968</v>
      </c>
      <c r="N68" s="31" t="s">
        <v>275</v>
      </c>
      <c r="O68" s="26">
        <v>5575052416</v>
      </c>
      <c r="P68" s="29" t="s">
        <v>2169</v>
      </c>
      <c r="Q68" s="31" t="s">
        <v>9</v>
      </c>
      <c r="R68" s="26">
        <v>5551722172</v>
      </c>
      <c r="S68" s="31" t="s">
        <v>2213</v>
      </c>
      <c r="T68" s="26" t="s">
        <v>2254</v>
      </c>
      <c r="U68" s="31" t="s">
        <v>2253</v>
      </c>
      <c r="V68" s="31" t="s">
        <v>294</v>
      </c>
      <c r="W68" s="31" t="s">
        <v>295</v>
      </c>
      <c r="X68" s="31" t="s">
        <v>99</v>
      </c>
      <c r="Y68" s="31">
        <v>52938</v>
      </c>
      <c r="Z68" s="31" t="s">
        <v>118</v>
      </c>
      <c r="AA68" s="31" t="s">
        <v>118</v>
      </c>
      <c r="AB68" s="31" t="s">
        <v>296</v>
      </c>
      <c r="AC68" s="31">
        <v>5553083000</v>
      </c>
      <c r="AD68" s="31">
        <v>5553083000</v>
      </c>
    </row>
    <row r="69" spans="1:30" x14ac:dyDescent="0.2">
      <c r="A69" s="26">
        <v>11564</v>
      </c>
      <c r="B69" s="26">
        <f>VLOOKUP(A69,Hoja1!A:A,1,FALSE)</f>
        <v>11564</v>
      </c>
      <c r="C69" s="27" t="s">
        <v>297</v>
      </c>
      <c r="D69" s="28" t="s">
        <v>48</v>
      </c>
      <c r="E69" s="29" t="s">
        <v>8</v>
      </c>
      <c r="F69" s="29" t="s">
        <v>8</v>
      </c>
      <c r="G69" s="30">
        <v>41974</v>
      </c>
      <c r="H69" s="26" t="s">
        <v>49</v>
      </c>
      <c r="I69" s="26" t="s">
        <v>110</v>
      </c>
      <c r="J69" s="26" t="s">
        <v>110</v>
      </c>
      <c r="K69" s="26">
        <v>50620</v>
      </c>
      <c r="L69" s="31" t="s">
        <v>2312</v>
      </c>
      <c r="M69" s="26">
        <v>4968</v>
      </c>
      <c r="N69" s="31" t="s">
        <v>275</v>
      </c>
      <c r="O69" s="26">
        <v>5575052416</v>
      </c>
      <c r="P69" s="29" t="s">
        <v>2169</v>
      </c>
      <c r="Q69" s="31" t="s">
        <v>9</v>
      </c>
      <c r="R69" s="26">
        <v>5551722172</v>
      </c>
      <c r="S69" s="31" t="s">
        <v>2213</v>
      </c>
      <c r="T69" s="26" t="s">
        <v>2254</v>
      </c>
      <c r="U69" s="31" t="s">
        <v>2253</v>
      </c>
      <c r="V69" s="31" t="s">
        <v>298</v>
      </c>
      <c r="W69" s="31" t="s">
        <v>299</v>
      </c>
      <c r="X69" s="31" t="s">
        <v>99</v>
      </c>
      <c r="Y69" s="31">
        <v>53240</v>
      </c>
      <c r="Z69" s="31" t="s">
        <v>285</v>
      </c>
      <c r="AA69" s="31" t="s">
        <v>118</v>
      </c>
      <c r="AB69" s="31" t="s">
        <v>300</v>
      </c>
      <c r="AC69" s="31">
        <v>5553606302</v>
      </c>
      <c r="AD69" s="31">
        <v>5553606302</v>
      </c>
    </row>
    <row r="70" spans="1:30" x14ac:dyDescent="0.2">
      <c r="A70" s="26">
        <v>11626</v>
      </c>
      <c r="B70" s="26">
        <f>VLOOKUP(A70,Hoja1!A:A,1,FALSE)</f>
        <v>11626</v>
      </c>
      <c r="C70" s="27" t="s">
        <v>301</v>
      </c>
      <c r="D70" s="28" t="s">
        <v>48</v>
      </c>
      <c r="E70" s="29" t="s">
        <v>8</v>
      </c>
      <c r="F70" s="29" t="s">
        <v>8</v>
      </c>
      <c r="G70" s="30">
        <v>42950</v>
      </c>
      <c r="H70" s="26" t="s">
        <v>49</v>
      </c>
      <c r="I70" s="26" t="s">
        <v>110</v>
      </c>
      <c r="J70" s="26" t="s">
        <v>110</v>
      </c>
      <c r="K70" s="26">
        <v>24204</v>
      </c>
      <c r="L70" s="31" t="s">
        <v>2313</v>
      </c>
      <c r="M70" s="26">
        <v>4968</v>
      </c>
      <c r="N70" s="31" t="s">
        <v>275</v>
      </c>
      <c r="O70" s="26">
        <v>5575052416</v>
      </c>
      <c r="P70" s="29" t="s">
        <v>2169</v>
      </c>
      <c r="Q70" s="31" t="s">
        <v>9</v>
      </c>
      <c r="R70" s="26">
        <v>5551722172</v>
      </c>
      <c r="S70" s="31" t="s">
        <v>2213</v>
      </c>
      <c r="T70" s="26" t="s">
        <v>2254</v>
      </c>
      <c r="U70" s="31" t="s">
        <v>2253</v>
      </c>
      <c r="V70" s="31" t="s">
        <v>302</v>
      </c>
      <c r="W70" s="31" t="s">
        <v>303</v>
      </c>
      <c r="X70" s="31" t="s">
        <v>273</v>
      </c>
      <c r="Y70" s="31">
        <v>54120</v>
      </c>
      <c r="Z70" s="31" t="s">
        <v>273</v>
      </c>
      <c r="AA70" s="31" t="s">
        <v>118</v>
      </c>
      <c r="AB70" s="31" t="s">
        <v>304</v>
      </c>
      <c r="AC70" s="31">
        <v>5553172810</v>
      </c>
      <c r="AD70" s="31">
        <v>5553172810</v>
      </c>
    </row>
    <row r="71" spans="1:30" x14ac:dyDescent="0.2">
      <c r="A71" s="26">
        <v>12303</v>
      </c>
      <c r="B71" s="26">
        <f>VLOOKUP(A71,Hoja1!A:A,1,FALSE)</f>
        <v>12303</v>
      </c>
      <c r="C71" s="27" t="s">
        <v>305</v>
      </c>
      <c r="D71" s="28" t="s">
        <v>48</v>
      </c>
      <c r="E71" s="29" t="s">
        <v>8</v>
      </c>
      <c r="F71" s="29" t="s">
        <v>8</v>
      </c>
      <c r="G71" s="30">
        <v>43139</v>
      </c>
      <c r="H71" s="26" t="s">
        <v>49</v>
      </c>
      <c r="I71" s="26" t="s">
        <v>110</v>
      </c>
      <c r="J71" s="26" t="s">
        <v>110</v>
      </c>
      <c r="K71" s="26">
        <v>50663</v>
      </c>
      <c r="L71" s="31" t="s">
        <v>2314</v>
      </c>
      <c r="M71" s="26">
        <v>4968</v>
      </c>
      <c r="N71" s="31" t="s">
        <v>275</v>
      </c>
      <c r="O71" s="26">
        <v>5575052416</v>
      </c>
      <c r="P71" s="29" t="s">
        <v>2169</v>
      </c>
      <c r="Q71" s="31" t="s">
        <v>9</v>
      </c>
      <c r="R71" s="26">
        <v>5551722172</v>
      </c>
      <c r="S71" s="31" t="s">
        <v>2213</v>
      </c>
      <c r="T71" s="26" t="s">
        <v>2254</v>
      </c>
      <c r="U71" s="31" t="s">
        <v>2253</v>
      </c>
      <c r="V71" s="31" t="s">
        <v>306</v>
      </c>
      <c r="W71" s="31" t="s">
        <v>307</v>
      </c>
      <c r="X71" s="31" t="s">
        <v>308</v>
      </c>
      <c r="Y71" s="31">
        <v>52970</v>
      </c>
      <c r="Z71" s="31" t="s">
        <v>118</v>
      </c>
      <c r="AA71" s="31" t="s">
        <v>118</v>
      </c>
      <c r="AB71" s="31" t="s">
        <v>309</v>
      </c>
      <c r="AC71" s="31">
        <v>5529190384</v>
      </c>
      <c r="AD71" s="31">
        <v>5551312850</v>
      </c>
    </row>
    <row r="72" spans="1:30" x14ac:dyDescent="0.2">
      <c r="A72" s="26">
        <v>12340</v>
      </c>
      <c r="B72" s="26">
        <f>VLOOKUP(A72,Hoja1!A:A,1,FALSE)</f>
        <v>12340</v>
      </c>
      <c r="C72" s="27" t="s">
        <v>310</v>
      </c>
      <c r="D72" s="28" t="s">
        <v>48</v>
      </c>
      <c r="E72" s="29" t="s">
        <v>8</v>
      </c>
      <c r="F72" s="29" t="s">
        <v>8</v>
      </c>
      <c r="G72" s="30">
        <v>43455</v>
      </c>
      <c r="H72" s="26" t="s">
        <v>49</v>
      </c>
      <c r="I72" s="26" t="s">
        <v>110</v>
      </c>
      <c r="J72" s="26" t="s">
        <v>110</v>
      </c>
      <c r="K72" s="26">
        <v>46378</v>
      </c>
      <c r="L72" s="31" t="s">
        <v>2315</v>
      </c>
      <c r="M72" s="26">
        <v>4968</v>
      </c>
      <c r="N72" s="31" t="s">
        <v>275</v>
      </c>
      <c r="O72" s="26">
        <v>5575052416</v>
      </c>
      <c r="P72" s="29" t="s">
        <v>2169</v>
      </c>
      <c r="Q72" s="31" t="s">
        <v>9</v>
      </c>
      <c r="R72" s="26">
        <v>5551722172</v>
      </c>
      <c r="S72" s="31" t="s">
        <v>2213</v>
      </c>
      <c r="T72" s="26" t="s">
        <v>2254</v>
      </c>
      <c r="U72" s="31" t="s">
        <v>2253</v>
      </c>
      <c r="V72" s="31" t="s">
        <v>311</v>
      </c>
      <c r="W72" s="31" t="s">
        <v>2160</v>
      </c>
      <c r="X72" s="31" t="s">
        <v>2224</v>
      </c>
      <c r="Y72" s="31">
        <v>52977</v>
      </c>
      <c r="Z72" s="31" t="s">
        <v>118</v>
      </c>
      <c r="AA72" s="31" t="s">
        <v>118</v>
      </c>
      <c r="AB72" s="31" t="s">
        <v>312</v>
      </c>
      <c r="AC72" s="31">
        <v>5580704585</v>
      </c>
      <c r="AD72" s="31">
        <v>5544380071</v>
      </c>
    </row>
    <row r="73" spans="1:30" x14ac:dyDescent="0.2">
      <c r="A73" s="26">
        <v>12347</v>
      </c>
      <c r="B73" s="26">
        <f>VLOOKUP(A73,Hoja1!A:A,1,FALSE)</f>
        <v>12347</v>
      </c>
      <c r="C73" s="27" t="s">
        <v>1967</v>
      </c>
      <c r="D73" s="28" t="s">
        <v>48</v>
      </c>
      <c r="E73" s="29" t="s">
        <v>8</v>
      </c>
      <c r="F73" s="29" t="s">
        <v>8</v>
      </c>
      <c r="G73" s="30">
        <v>43449</v>
      </c>
      <c r="H73" s="26" t="s">
        <v>49</v>
      </c>
      <c r="I73" s="26" t="s">
        <v>110</v>
      </c>
      <c r="J73" s="26" t="s">
        <v>110</v>
      </c>
      <c r="K73" s="26">
        <v>24811</v>
      </c>
      <c r="L73" s="31" t="s">
        <v>2316</v>
      </c>
      <c r="M73" s="26">
        <v>4968</v>
      </c>
      <c r="N73" s="31" t="s">
        <v>275</v>
      </c>
      <c r="O73" s="26">
        <v>5575052416</v>
      </c>
      <c r="P73" s="29" t="s">
        <v>2169</v>
      </c>
      <c r="Q73" s="31" t="s">
        <v>9</v>
      </c>
      <c r="R73" s="26">
        <v>5551722172</v>
      </c>
      <c r="S73" s="31" t="s">
        <v>2213</v>
      </c>
      <c r="T73" s="26" t="s">
        <v>2254</v>
      </c>
      <c r="U73" s="31" t="s">
        <v>2253</v>
      </c>
      <c r="V73" s="31" t="s">
        <v>313</v>
      </c>
      <c r="W73" s="31" t="s">
        <v>282</v>
      </c>
      <c r="X73" s="31" t="s">
        <v>161</v>
      </c>
      <c r="Y73" s="31">
        <v>53120</v>
      </c>
      <c r="Z73" s="31" t="s">
        <v>118</v>
      </c>
      <c r="AA73" s="31" t="s">
        <v>118</v>
      </c>
      <c r="AB73" s="31" t="s">
        <v>314</v>
      </c>
      <c r="AC73" s="31">
        <v>5580706394</v>
      </c>
      <c r="AD73" s="31">
        <v>5514544538</v>
      </c>
    </row>
    <row r="74" spans="1:30" x14ac:dyDescent="0.2">
      <c r="A74" s="26">
        <v>12413</v>
      </c>
      <c r="B74" s="26" t="e">
        <f>VLOOKUP(A74,Hoja1!A:A,1,FALSE)</f>
        <v>#N/A</v>
      </c>
      <c r="C74" s="27" t="s">
        <v>1947</v>
      </c>
      <c r="D74" s="28" t="s">
        <v>48</v>
      </c>
      <c r="E74" s="29" t="s">
        <v>8</v>
      </c>
      <c r="F74" s="29" t="s">
        <v>8</v>
      </c>
      <c r="G74" s="30">
        <v>43784</v>
      </c>
      <c r="H74" s="26" t="s">
        <v>49</v>
      </c>
      <c r="I74" s="26" t="s">
        <v>50</v>
      </c>
      <c r="J74" s="26" t="s">
        <v>153</v>
      </c>
      <c r="K74" s="26">
        <v>46698</v>
      </c>
      <c r="L74" s="31" t="s">
        <v>2317</v>
      </c>
      <c r="M74" s="26">
        <v>4968</v>
      </c>
      <c r="N74" s="31" t="s">
        <v>275</v>
      </c>
      <c r="O74" s="26">
        <v>5575052416</v>
      </c>
      <c r="P74" s="29" t="s">
        <v>2169</v>
      </c>
      <c r="Q74" s="31" t="s">
        <v>9</v>
      </c>
      <c r="R74" s="26">
        <v>5551722172</v>
      </c>
      <c r="S74" s="31" t="s">
        <v>2213</v>
      </c>
      <c r="T74" s="26" t="s">
        <v>2254</v>
      </c>
      <c r="U74" s="31" t="s">
        <v>2253</v>
      </c>
      <c r="V74" s="27" t="s">
        <v>2229</v>
      </c>
      <c r="W74" s="13" t="s">
        <v>2147</v>
      </c>
      <c r="X74" s="27" t="s">
        <v>161</v>
      </c>
      <c r="Y74" s="31">
        <v>53100</v>
      </c>
      <c r="Z74" s="27" t="s">
        <v>118</v>
      </c>
      <c r="AA74" s="31" t="s">
        <v>118</v>
      </c>
      <c r="AB74" s="27" t="s">
        <v>2146</v>
      </c>
      <c r="AC74" s="31" t="s">
        <v>99</v>
      </c>
      <c r="AD74" s="31" t="s">
        <v>99</v>
      </c>
    </row>
    <row r="75" spans="1:30" x14ac:dyDescent="0.2">
      <c r="A75" s="26">
        <v>11055</v>
      </c>
      <c r="B75" s="26">
        <f>VLOOKUP(A75,Hoja1!A:A,1,FALSE)</f>
        <v>11055</v>
      </c>
      <c r="C75" s="27" t="s">
        <v>315</v>
      </c>
      <c r="D75" s="28" t="s">
        <v>48</v>
      </c>
      <c r="E75" s="29" t="s">
        <v>8</v>
      </c>
      <c r="F75" s="29" t="s">
        <v>8</v>
      </c>
      <c r="G75" s="30">
        <v>33661</v>
      </c>
      <c r="H75" s="26" t="s">
        <v>49</v>
      </c>
      <c r="I75" s="26" t="s">
        <v>110</v>
      </c>
      <c r="J75" s="26" t="s">
        <v>110</v>
      </c>
      <c r="K75" s="26">
        <v>12611</v>
      </c>
      <c r="L75" s="31" t="s">
        <v>2318</v>
      </c>
      <c r="M75" s="26">
        <v>5159</v>
      </c>
      <c r="N75" s="31" t="s">
        <v>316</v>
      </c>
      <c r="O75" s="26">
        <v>5541302268</v>
      </c>
      <c r="P75" s="29" t="s">
        <v>2170</v>
      </c>
      <c r="Q75" s="31" t="s">
        <v>9</v>
      </c>
      <c r="R75" s="26">
        <v>5551722172</v>
      </c>
      <c r="S75" s="31" t="s">
        <v>2213</v>
      </c>
      <c r="T75" s="26" t="s">
        <v>2254</v>
      </c>
      <c r="U75" s="31" t="s">
        <v>2253</v>
      </c>
      <c r="V75" s="31" t="s">
        <v>317</v>
      </c>
      <c r="W75" s="31" t="s">
        <v>318</v>
      </c>
      <c r="X75" s="31" t="s">
        <v>64</v>
      </c>
      <c r="Y75" s="31">
        <v>6140</v>
      </c>
      <c r="Z75" s="31" t="s">
        <v>57</v>
      </c>
      <c r="AA75" s="31" t="s">
        <v>57</v>
      </c>
      <c r="AB75" s="31" t="s">
        <v>319</v>
      </c>
      <c r="AC75" s="31">
        <v>5555532358</v>
      </c>
      <c r="AD75" s="31">
        <v>5555532358</v>
      </c>
    </row>
    <row r="76" spans="1:30" x14ac:dyDescent="0.2">
      <c r="A76" s="26">
        <v>11058</v>
      </c>
      <c r="B76" s="26">
        <f>VLOOKUP(A76,Hoja1!A:A,1,FALSE)</f>
        <v>11058</v>
      </c>
      <c r="C76" s="27" t="s">
        <v>320</v>
      </c>
      <c r="D76" s="28" t="s">
        <v>48</v>
      </c>
      <c r="E76" s="29" t="s">
        <v>8</v>
      </c>
      <c r="F76" s="29" t="s">
        <v>8</v>
      </c>
      <c r="G76" s="30">
        <v>33777</v>
      </c>
      <c r="H76" s="26" t="s">
        <v>49</v>
      </c>
      <c r="I76" s="26" t="s">
        <v>110</v>
      </c>
      <c r="J76" s="26" t="s">
        <v>110</v>
      </c>
      <c r="K76" s="26">
        <v>28074</v>
      </c>
      <c r="L76" s="31" t="s">
        <v>2319</v>
      </c>
      <c r="M76" s="26">
        <v>5159</v>
      </c>
      <c r="N76" s="31" t="s">
        <v>316</v>
      </c>
      <c r="O76" s="26">
        <v>5541302268</v>
      </c>
      <c r="P76" s="29" t="s">
        <v>2170</v>
      </c>
      <c r="Q76" s="31" t="s">
        <v>9</v>
      </c>
      <c r="R76" s="26">
        <v>5551722172</v>
      </c>
      <c r="S76" s="31" t="s">
        <v>2213</v>
      </c>
      <c r="T76" s="26" t="s">
        <v>2254</v>
      </c>
      <c r="U76" s="31" t="s">
        <v>2253</v>
      </c>
      <c r="V76" s="31" t="s">
        <v>321</v>
      </c>
      <c r="W76" s="31" t="s">
        <v>322</v>
      </c>
      <c r="X76" s="31" t="s">
        <v>64</v>
      </c>
      <c r="Y76" s="31">
        <v>6600</v>
      </c>
      <c r="Z76" s="31" t="s">
        <v>57</v>
      </c>
      <c r="AA76" s="31" t="s">
        <v>57</v>
      </c>
      <c r="AB76" s="31" t="s">
        <v>323</v>
      </c>
      <c r="AC76" s="31">
        <v>5555144163</v>
      </c>
      <c r="AD76" s="31">
        <v>5552089017</v>
      </c>
    </row>
    <row r="77" spans="1:30" x14ac:dyDescent="0.2">
      <c r="A77" s="26">
        <v>11089</v>
      </c>
      <c r="B77" s="26">
        <f>VLOOKUP(A77,Hoja1!A:A,1,FALSE)</f>
        <v>11089</v>
      </c>
      <c r="C77" s="27" t="s">
        <v>324</v>
      </c>
      <c r="D77" s="28" t="s">
        <v>48</v>
      </c>
      <c r="E77" s="29" t="s">
        <v>8</v>
      </c>
      <c r="F77" s="29" t="s">
        <v>8</v>
      </c>
      <c r="G77" s="30">
        <v>34029</v>
      </c>
      <c r="H77" s="26" t="s">
        <v>49</v>
      </c>
      <c r="I77" s="26" t="s">
        <v>110</v>
      </c>
      <c r="J77" s="26" t="s">
        <v>110</v>
      </c>
      <c r="K77" s="26">
        <v>12889</v>
      </c>
      <c r="L77" s="31" t="s">
        <v>2320</v>
      </c>
      <c r="M77" s="26">
        <v>5159</v>
      </c>
      <c r="N77" s="31" t="s">
        <v>316</v>
      </c>
      <c r="O77" s="26">
        <v>5541302268</v>
      </c>
      <c r="P77" s="29" t="s">
        <v>2170</v>
      </c>
      <c r="Q77" s="31" t="s">
        <v>9</v>
      </c>
      <c r="R77" s="26">
        <v>5551722172</v>
      </c>
      <c r="S77" s="31" t="s">
        <v>2213</v>
      </c>
      <c r="T77" s="26" t="s">
        <v>2254</v>
      </c>
      <c r="U77" s="31" t="s">
        <v>2253</v>
      </c>
      <c r="V77" s="31" t="s">
        <v>325</v>
      </c>
      <c r="W77" s="31" t="s">
        <v>326</v>
      </c>
      <c r="X77" s="31" t="s">
        <v>64</v>
      </c>
      <c r="Y77" s="31">
        <v>11320</v>
      </c>
      <c r="Z77" s="31" t="s">
        <v>57</v>
      </c>
      <c r="AA77" s="31" t="s">
        <v>57</v>
      </c>
      <c r="AB77" s="31" t="s">
        <v>327</v>
      </c>
      <c r="AC77" s="31">
        <v>5552604688</v>
      </c>
      <c r="AD77" s="31">
        <v>5552604545</v>
      </c>
    </row>
    <row r="78" spans="1:30" x14ac:dyDescent="0.2">
      <c r="A78" s="26">
        <v>11096</v>
      </c>
      <c r="B78" s="26">
        <f>VLOOKUP(A78,Hoja1!A:A,1,FALSE)</f>
        <v>11096</v>
      </c>
      <c r="C78" s="27" t="s">
        <v>328</v>
      </c>
      <c r="D78" s="28" t="s">
        <v>48</v>
      </c>
      <c r="E78" s="29" t="s">
        <v>8</v>
      </c>
      <c r="F78" s="29" t="s">
        <v>8</v>
      </c>
      <c r="G78" s="30">
        <v>34142</v>
      </c>
      <c r="H78" s="26" t="s">
        <v>49</v>
      </c>
      <c r="I78" s="26" t="s">
        <v>110</v>
      </c>
      <c r="J78" s="26" t="s">
        <v>110</v>
      </c>
      <c r="K78" s="26">
        <v>23980</v>
      </c>
      <c r="L78" s="31" t="s">
        <v>2321</v>
      </c>
      <c r="M78" s="26">
        <v>5159</v>
      </c>
      <c r="N78" s="31" t="s">
        <v>316</v>
      </c>
      <c r="O78" s="26">
        <v>5541302268</v>
      </c>
      <c r="P78" s="29" t="s">
        <v>2170</v>
      </c>
      <c r="Q78" s="31" t="s">
        <v>9</v>
      </c>
      <c r="R78" s="26">
        <v>5551722172</v>
      </c>
      <c r="S78" s="31" t="s">
        <v>2213</v>
      </c>
      <c r="T78" s="26" t="s">
        <v>2254</v>
      </c>
      <c r="U78" s="31" t="s">
        <v>2253</v>
      </c>
      <c r="V78" s="31" t="s">
        <v>329</v>
      </c>
      <c r="W78" s="31" t="s">
        <v>330</v>
      </c>
      <c r="X78" s="31" t="s">
        <v>64</v>
      </c>
      <c r="Y78" s="31">
        <v>699</v>
      </c>
      <c r="Z78" s="31" t="s">
        <v>57</v>
      </c>
      <c r="AA78" s="31" t="s">
        <v>57</v>
      </c>
      <c r="AB78" s="31" t="s">
        <v>331</v>
      </c>
      <c r="AC78" s="31">
        <v>5576911400</v>
      </c>
      <c r="AD78" s="31">
        <v>5555977377</v>
      </c>
    </row>
    <row r="79" spans="1:30" x14ac:dyDescent="0.2">
      <c r="A79" s="26">
        <v>11210</v>
      </c>
      <c r="B79" s="26">
        <f>VLOOKUP(A79,Hoja1!A:A,1,FALSE)</f>
        <v>11210</v>
      </c>
      <c r="C79" s="27" t="s">
        <v>332</v>
      </c>
      <c r="D79" s="28" t="s">
        <v>48</v>
      </c>
      <c r="E79" s="29" t="s">
        <v>8</v>
      </c>
      <c r="F79" s="29" t="s">
        <v>8</v>
      </c>
      <c r="G79" s="30">
        <v>36045</v>
      </c>
      <c r="H79" s="26" t="s">
        <v>49</v>
      </c>
      <c r="I79" s="26" t="s">
        <v>110</v>
      </c>
      <c r="J79" s="26" t="s">
        <v>110</v>
      </c>
      <c r="K79" s="26">
        <v>27406</v>
      </c>
      <c r="L79" s="31" t="s">
        <v>2322</v>
      </c>
      <c r="M79" s="26">
        <v>5159</v>
      </c>
      <c r="N79" s="31" t="s">
        <v>316</v>
      </c>
      <c r="O79" s="26">
        <v>5541302268</v>
      </c>
      <c r="P79" s="29" t="s">
        <v>2170</v>
      </c>
      <c r="Q79" s="31" t="s">
        <v>9</v>
      </c>
      <c r="R79" s="26">
        <v>5551722172</v>
      </c>
      <c r="S79" s="31" t="s">
        <v>2213</v>
      </c>
      <c r="T79" s="26" t="s">
        <v>2254</v>
      </c>
      <c r="U79" s="31" t="s">
        <v>2253</v>
      </c>
      <c r="V79" s="31" t="s">
        <v>333</v>
      </c>
      <c r="W79" s="31" t="s">
        <v>334</v>
      </c>
      <c r="X79" s="31" t="s">
        <v>84</v>
      </c>
      <c r="Y79" s="31">
        <v>11430</v>
      </c>
      <c r="Z79" s="31" t="s">
        <v>57</v>
      </c>
      <c r="AA79" s="31" t="s">
        <v>57</v>
      </c>
      <c r="AB79" s="31" t="s">
        <v>335</v>
      </c>
      <c r="AC79" s="31">
        <v>5550829020</v>
      </c>
      <c r="AD79" s="31">
        <v>5553865000</v>
      </c>
    </row>
    <row r="80" spans="1:30" x14ac:dyDescent="0.2">
      <c r="A80" s="26">
        <v>11219</v>
      </c>
      <c r="B80" s="26">
        <f>VLOOKUP(A80,Hoja1!A:A,1,FALSE)</f>
        <v>11219</v>
      </c>
      <c r="C80" s="27" t="s">
        <v>336</v>
      </c>
      <c r="D80" s="28" t="s">
        <v>48</v>
      </c>
      <c r="E80" s="29" t="s">
        <v>8</v>
      </c>
      <c r="F80" s="29" t="s">
        <v>8</v>
      </c>
      <c r="G80" s="30">
        <v>36164</v>
      </c>
      <c r="H80" s="26" t="s">
        <v>49</v>
      </c>
      <c r="I80" s="26" t="s">
        <v>110</v>
      </c>
      <c r="J80" s="26" t="s">
        <v>110</v>
      </c>
      <c r="K80" s="26">
        <v>35722</v>
      </c>
      <c r="L80" s="31" t="s">
        <v>2323</v>
      </c>
      <c r="M80" s="26">
        <v>5159</v>
      </c>
      <c r="N80" s="31" t="s">
        <v>316</v>
      </c>
      <c r="O80" s="26">
        <v>5541302268</v>
      </c>
      <c r="P80" s="29" t="s">
        <v>2170</v>
      </c>
      <c r="Q80" s="31" t="s">
        <v>9</v>
      </c>
      <c r="R80" s="26">
        <v>5551722172</v>
      </c>
      <c r="S80" s="31" t="s">
        <v>2213</v>
      </c>
      <c r="T80" s="26" t="s">
        <v>2254</v>
      </c>
      <c r="U80" s="31" t="s">
        <v>2253</v>
      </c>
      <c r="V80" s="31" t="s">
        <v>337</v>
      </c>
      <c r="W80" s="31" t="s">
        <v>338</v>
      </c>
      <c r="X80" s="31" t="s">
        <v>64</v>
      </c>
      <c r="Y80" s="31">
        <v>3100</v>
      </c>
      <c r="Z80" s="31" t="s">
        <v>57</v>
      </c>
      <c r="AA80" s="31" t="s">
        <v>57</v>
      </c>
      <c r="AB80" s="31" t="s">
        <v>339</v>
      </c>
      <c r="AC80" s="31">
        <v>5555645211</v>
      </c>
      <c r="AD80" s="31">
        <v>5555645757</v>
      </c>
    </row>
    <row r="81" spans="1:31" x14ac:dyDescent="0.2">
      <c r="A81" s="26">
        <v>11290</v>
      </c>
      <c r="B81" s="26">
        <f>VLOOKUP(A81,Hoja1!A:A,1,FALSE)</f>
        <v>11290</v>
      </c>
      <c r="C81" s="27" t="s">
        <v>340</v>
      </c>
      <c r="D81" s="28" t="s">
        <v>48</v>
      </c>
      <c r="E81" s="29" t="s">
        <v>8</v>
      </c>
      <c r="F81" s="29" t="s">
        <v>8</v>
      </c>
      <c r="G81" s="30">
        <v>36496</v>
      </c>
      <c r="H81" s="26" t="s">
        <v>49</v>
      </c>
      <c r="I81" s="26" t="s">
        <v>110</v>
      </c>
      <c r="J81" s="26" t="s">
        <v>110</v>
      </c>
      <c r="K81" s="26">
        <v>28116</v>
      </c>
      <c r="L81" s="31" t="s">
        <v>2324</v>
      </c>
      <c r="M81" s="26">
        <v>5159</v>
      </c>
      <c r="N81" s="31" t="s">
        <v>316</v>
      </c>
      <c r="O81" s="26">
        <v>5541302268</v>
      </c>
      <c r="P81" s="29" t="s">
        <v>2170</v>
      </c>
      <c r="Q81" s="31" t="s">
        <v>9</v>
      </c>
      <c r="R81" s="26">
        <v>5551722172</v>
      </c>
      <c r="S81" s="31" t="s">
        <v>2213</v>
      </c>
      <c r="T81" s="26" t="s">
        <v>2254</v>
      </c>
      <c r="U81" s="31" t="s">
        <v>2253</v>
      </c>
      <c r="V81" s="31" t="s">
        <v>341</v>
      </c>
      <c r="W81" s="31" t="s">
        <v>342</v>
      </c>
      <c r="X81" s="31" t="s">
        <v>64</v>
      </c>
      <c r="Y81" s="31">
        <v>6030</v>
      </c>
      <c r="Z81" s="31" t="s">
        <v>57</v>
      </c>
      <c r="AA81" s="31" t="s">
        <v>57</v>
      </c>
      <c r="AB81" s="31" t="s">
        <v>343</v>
      </c>
      <c r="AC81" s="31">
        <v>5572612518</v>
      </c>
      <c r="AD81" s="31">
        <v>5557053500</v>
      </c>
    </row>
    <row r="82" spans="1:31" x14ac:dyDescent="0.2">
      <c r="A82" s="26">
        <v>11580</v>
      </c>
      <c r="B82" s="26">
        <f>VLOOKUP(A82,Hoja1!A:A,1,FALSE)</f>
        <v>11580</v>
      </c>
      <c r="C82" s="27" t="s">
        <v>344</v>
      </c>
      <c r="D82" s="28" t="s">
        <v>48</v>
      </c>
      <c r="E82" s="29" t="s">
        <v>8</v>
      </c>
      <c r="F82" s="29" t="s">
        <v>8</v>
      </c>
      <c r="G82" s="30">
        <v>42328</v>
      </c>
      <c r="H82" s="26" t="s">
        <v>49</v>
      </c>
      <c r="I82" s="26" t="s">
        <v>110</v>
      </c>
      <c r="J82" s="26" t="s">
        <v>110</v>
      </c>
      <c r="K82" s="26">
        <v>26858</v>
      </c>
      <c r="L82" s="31" t="s">
        <v>2325</v>
      </c>
      <c r="M82" s="26">
        <v>5159</v>
      </c>
      <c r="N82" s="31" t="s">
        <v>316</v>
      </c>
      <c r="O82" s="26">
        <v>5541302268</v>
      </c>
      <c r="P82" s="29" t="s">
        <v>2170</v>
      </c>
      <c r="Q82" s="31" t="s">
        <v>9</v>
      </c>
      <c r="R82" s="26">
        <v>5551722172</v>
      </c>
      <c r="S82" s="31" t="s">
        <v>2213</v>
      </c>
      <c r="T82" s="26" t="s">
        <v>2254</v>
      </c>
      <c r="U82" s="31" t="s">
        <v>2253</v>
      </c>
      <c r="V82" s="31" t="s">
        <v>345</v>
      </c>
      <c r="W82" s="31" t="s">
        <v>346</v>
      </c>
      <c r="X82" s="31" t="s">
        <v>84</v>
      </c>
      <c r="Y82" s="31">
        <v>11320</v>
      </c>
      <c r="Z82" s="31" t="s">
        <v>57</v>
      </c>
      <c r="AA82" s="31" t="s">
        <v>57</v>
      </c>
      <c r="AB82" s="31" t="s">
        <v>347</v>
      </c>
      <c r="AC82" s="31">
        <v>5552501002</v>
      </c>
      <c r="AD82" s="31">
        <v>5552501002</v>
      </c>
    </row>
    <row r="83" spans="1:31" x14ac:dyDescent="0.2">
      <c r="A83" s="26">
        <v>11892</v>
      </c>
      <c r="B83" s="26">
        <f>VLOOKUP(A83,Hoja1!A:A,1,FALSE)</f>
        <v>11892</v>
      </c>
      <c r="C83" s="27" t="s">
        <v>348</v>
      </c>
      <c r="D83" s="28" t="s">
        <v>48</v>
      </c>
      <c r="E83" s="29" t="s">
        <v>8</v>
      </c>
      <c r="F83" s="29" t="s">
        <v>8</v>
      </c>
      <c r="G83" s="30">
        <v>39459</v>
      </c>
      <c r="H83" s="26" t="s">
        <v>49</v>
      </c>
      <c r="I83" s="26" t="s">
        <v>50</v>
      </c>
      <c r="J83" s="26" t="s">
        <v>153</v>
      </c>
      <c r="K83" s="26">
        <v>19066</v>
      </c>
      <c r="L83" s="31" t="s">
        <v>2326</v>
      </c>
      <c r="M83" s="26">
        <v>5159</v>
      </c>
      <c r="N83" s="31" t="s">
        <v>316</v>
      </c>
      <c r="O83" s="26">
        <v>5541302268</v>
      </c>
      <c r="P83" s="29" t="s">
        <v>2170</v>
      </c>
      <c r="Q83" s="31" t="s">
        <v>9</v>
      </c>
      <c r="R83" s="26">
        <v>5551722172</v>
      </c>
      <c r="S83" s="31" t="s">
        <v>2213</v>
      </c>
      <c r="T83" s="26" t="s">
        <v>2254</v>
      </c>
      <c r="U83" s="31" t="s">
        <v>2253</v>
      </c>
      <c r="V83" s="31" t="s">
        <v>349</v>
      </c>
      <c r="W83" s="31" t="s">
        <v>350</v>
      </c>
      <c r="X83" s="31" t="s">
        <v>64</v>
      </c>
      <c r="Y83" s="31">
        <v>6600</v>
      </c>
      <c r="Z83" s="31" t="s">
        <v>57</v>
      </c>
      <c r="AA83" s="31" t="s">
        <v>57</v>
      </c>
      <c r="AB83" s="31" t="s">
        <v>351</v>
      </c>
      <c r="AC83" s="31">
        <v>5555252928</v>
      </c>
      <c r="AD83" s="31">
        <v>5555252928</v>
      </c>
    </row>
    <row r="84" spans="1:31" x14ac:dyDescent="0.2">
      <c r="A84" s="26">
        <v>12308</v>
      </c>
      <c r="B84" s="26">
        <f>VLOOKUP(A84,Hoja1!A:A,1,FALSE)</f>
        <v>12308</v>
      </c>
      <c r="C84" s="27" t="s">
        <v>352</v>
      </c>
      <c r="D84" s="28" t="s">
        <v>48</v>
      </c>
      <c r="E84" s="29" t="s">
        <v>8</v>
      </c>
      <c r="F84" s="29" t="s">
        <v>8</v>
      </c>
      <c r="G84" s="30">
        <v>43269</v>
      </c>
      <c r="H84" s="26" t="s">
        <v>49</v>
      </c>
      <c r="I84" s="26" t="s">
        <v>110</v>
      </c>
      <c r="J84" s="26" t="s">
        <v>110</v>
      </c>
      <c r="K84" s="26">
        <v>25708</v>
      </c>
      <c r="L84" s="31" t="s">
        <v>2327</v>
      </c>
      <c r="M84" s="26">
        <v>5159</v>
      </c>
      <c r="N84" s="31" t="s">
        <v>316</v>
      </c>
      <c r="O84" s="26">
        <v>5541302268</v>
      </c>
      <c r="P84" s="29" t="s">
        <v>2170</v>
      </c>
      <c r="Q84" s="31" t="s">
        <v>9</v>
      </c>
      <c r="R84" s="26">
        <v>5551722172</v>
      </c>
      <c r="S84" s="31" t="s">
        <v>2213</v>
      </c>
      <c r="T84" s="26" t="s">
        <v>2254</v>
      </c>
      <c r="U84" s="31" t="s">
        <v>2253</v>
      </c>
      <c r="V84" s="31" t="s">
        <v>353</v>
      </c>
      <c r="W84" s="31" t="s">
        <v>354</v>
      </c>
      <c r="X84" s="31" t="s">
        <v>64</v>
      </c>
      <c r="Y84" s="31">
        <v>6400</v>
      </c>
      <c r="Z84" s="31" t="s">
        <v>57</v>
      </c>
      <c r="AA84" s="31" t="s">
        <v>57</v>
      </c>
      <c r="AB84" s="31" t="s">
        <v>355</v>
      </c>
      <c r="AC84" s="31" t="s">
        <v>2218</v>
      </c>
      <c r="AD84" s="31">
        <v>5514544530</v>
      </c>
    </row>
    <row r="85" spans="1:31" x14ac:dyDescent="0.2">
      <c r="A85" s="26">
        <v>12341</v>
      </c>
      <c r="B85" s="26">
        <f>VLOOKUP(A85,Hoja1!A:A,1,FALSE)</f>
        <v>12341</v>
      </c>
      <c r="C85" s="27" t="s">
        <v>356</v>
      </c>
      <c r="D85" s="28" t="s">
        <v>48</v>
      </c>
      <c r="E85" s="29" t="s">
        <v>8</v>
      </c>
      <c r="F85" s="29" t="s">
        <v>8</v>
      </c>
      <c r="G85" s="30">
        <v>43446</v>
      </c>
      <c r="H85" s="26" t="s">
        <v>49</v>
      </c>
      <c r="I85" s="26" t="s">
        <v>110</v>
      </c>
      <c r="J85" s="26" t="s">
        <v>110</v>
      </c>
      <c r="K85" s="26">
        <v>14612</v>
      </c>
      <c r="L85" s="31" t="s">
        <v>2328</v>
      </c>
      <c r="M85" s="26">
        <v>5159</v>
      </c>
      <c r="N85" s="31" t="s">
        <v>316</v>
      </c>
      <c r="O85" s="26">
        <v>5541302268</v>
      </c>
      <c r="P85" s="29" t="s">
        <v>2170</v>
      </c>
      <c r="Q85" s="31" t="s">
        <v>9</v>
      </c>
      <c r="R85" s="26">
        <v>5551722172</v>
      </c>
      <c r="S85" s="31" t="s">
        <v>2213</v>
      </c>
      <c r="T85" s="26" t="s">
        <v>2254</v>
      </c>
      <c r="U85" s="31" t="s">
        <v>2253</v>
      </c>
      <c r="V85" s="31" t="s">
        <v>357</v>
      </c>
      <c r="W85" s="31" t="s">
        <v>358</v>
      </c>
      <c r="X85" s="31" t="s">
        <v>64</v>
      </c>
      <c r="Y85" s="31">
        <v>6700</v>
      </c>
      <c r="Z85" s="31" t="s">
        <v>57</v>
      </c>
      <c r="AA85" s="31" t="s">
        <v>57</v>
      </c>
      <c r="AB85" s="31" t="s">
        <v>359</v>
      </c>
      <c r="AC85" s="31" t="s">
        <v>2219</v>
      </c>
      <c r="AD85" s="31">
        <v>5514544536</v>
      </c>
    </row>
    <row r="86" spans="1:31" x14ac:dyDescent="0.2">
      <c r="A86" s="26">
        <v>11120</v>
      </c>
      <c r="B86" s="26">
        <f>VLOOKUP(A86,Hoja1!A:A,1,FALSE)</f>
        <v>11120</v>
      </c>
      <c r="C86" s="27" t="s">
        <v>241</v>
      </c>
      <c r="D86" s="28" t="s">
        <v>48</v>
      </c>
      <c r="E86" s="29" t="s">
        <v>8</v>
      </c>
      <c r="F86" s="29" t="s">
        <v>8</v>
      </c>
      <c r="G86" s="30">
        <v>34498</v>
      </c>
      <c r="H86" s="26" t="s">
        <v>49</v>
      </c>
      <c r="I86" s="26" t="s">
        <v>110</v>
      </c>
      <c r="J86" s="26" t="s">
        <v>110</v>
      </c>
      <c r="K86" s="26">
        <v>35920</v>
      </c>
      <c r="L86" s="31" t="s">
        <v>2329</v>
      </c>
      <c r="M86" s="26">
        <v>6284</v>
      </c>
      <c r="N86" s="31" t="s">
        <v>2237</v>
      </c>
      <c r="O86" s="26" t="s">
        <v>53</v>
      </c>
      <c r="P86" s="29" t="s">
        <v>53</v>
      </c>
      <c r="Q86" s="31" t="s">
        <v>9</v>
      </c>
      <c r="R86" s="26">
        <v>5551722172</v>
      </c>
      <c r="S86" s="31" t="s">
        <v>2213</v>
      </c>
      <c r="T86" s="26" t="s">
        <v>2254</v>
      </c>
      <c r="U86" s="31" t="s">
        <v>2253</v>
      </c>
      <c r="V86" s="31" t="s">
        <v>243</v>
      </c>
      <c r="W86" s="31" t="s">
        <v>244</v>
      </c>
      <c r="X86" s="31" t="s">
        <v>241</v>
      </c>
      <c r="Y86" s="31">
        <v>2800</v>
      </c>
      <c r="Z86" s="31" t="s">
        <v>57</v>
      </c>
      <c r="AA86" s="31" t="s">
        <v>57</v>
      </c>
      <c r="AB86" s="31" t="s">
        <v>245</v>
      </c>
      <c r="AC86" s="31">
        <v>5555563307</v>
      </c>
      <c r="AD86" s="31">
        <v>5553562628</v>
      </c>
    </row>
    <row r="87" spans="1:31" x14ac:dyDescent="0.2">
      <c r="A87" s="26">
        <v>11155</v>
      </c>
      <c r="B87" s="26">
        <f>VLOOKUP(A87,Hoja1!A:A,1,FALSE)</f>
        <v>11155</v>
      </c>
      <c r="C87" s="27" t="s">
        <v>246</v>
      </c>
      <c r="D87" s="28" t="s">
        <v>48</v>
      </c>
      <c r="E87" s="29" t="s">
        <v>8</v>
      </c>
      <c r="F87" s="29" t="s">
        <v>8</v>
      </c>
      <c r="G87" s="30">
        <v>35648</v>
      </c>
      <c r="H87" s="26" t="s">
        <v>49</v>
      </c>
      <c r="I87" s="26" t="s">
        <v>110</v>
      </c>
      <c r="J87" s="26" t="s">
        <v>110</v>
      </c>
      <c r="K87" s="26">
        <v>19665</v>
      </c>
      <c r="L87" s="31" t="s">
        <v>2330</v>
      </c>
      <c r="M87" s="26">
        <v>6284</v>
      </c>
      <c r="N87" s="31" t="s">
        <v>2237</v>
      </c>
      <c r="O87" s="26" t="s">
        <v>53</v>
      </c>
      <c r="P87" s="29" t="s">
        <v>53</v>
      </c>
      <c r="Q87" s="31" t="s">
        <v>9</v>
      </c>
      <c r="R87" s="26">
        <v>5551722172</v>
      </c>
      <c r="S87" s="31" t="s">
        <v>2213</v>
      </c>
      <c r="T87" s="26" t="s">
        <v>2254</v>
      </c>
      <c r="U87" s="31" t="s">
        <v>2253</v>
      </c>
      <c r="V87" s="31" t="s">
        <v>247</v>
      </c>
      <c r="W87" s="31" t="s">
        <v>248</v>
      </c>
      <c r="X87" s="31" t="s">
        <v>241</v>
      </c>
      <c r="Y87" s="31">
        <v>2130</v>
      </c>
      <c r="Z87" s="31" t="s">
        <v>57</v>
      </c>
      <c r="AA87" s="31" t="s">
        <v>57</v>
      </c>
      <c r="AB87" s="31" t="s">
        <v>249</v>
      </c>
      <c r="AC87" s="31">
        <v>5576527954</v>
      </c>
      <c r="AD87" s="31">
        <v>5553947000</v>
      </c>
    </row>
    <row r="88" spans="1:31" x14ac:dyDescent="0.2">
      <c r="A88" s="26">
        <v>11440</v>
      </c>
      <c r="B88" s="26">
        <f>VLOOKUP(A88,Hoja1!A:A,1,FALSE)</f>
        <v>11440</v>
      </c>
      <c r="C88" s="27" t="s">
        <v>250</v>
      </c>
      <c r="D88" s="28" t="s">
        <v>48</v>
      </c>
      <c r="E88" s="29" t="s">
        <v>8</v>
      </c>
      <c r="F88" s="29" t="s">
        <v>8</v>
      </c>
      <c r="G88" s="30">
        <v>38128</v>
      </c>
      <c r="H88" s="26" t="s">
        <v>49</v>
      </c>
      <c r="I88" s="26" t="s">
        <v>110</v>
      </c>
      <c r="J88" s="26" t="s">
        <v>110</v>
      </c>
      <c r="K88" s="26">
        <v>24102</v>
      </c>
      <c r="L88" s="31" t="s">
        <v>2331</v>
      </c>
      <c r="M88" s="26">
        <v>6284</v>
      </c>
      <c r="N88" s="31" t="s">
        <v>2237</v>
      </c>
      <c r="O88" s="26" t="s">
        <v>53</v>
      </c>
      <c r="P88" s="29" t="s">
        <v>53</v>
      </c>
      <c r="Q88" s="31" t="s">
        <v>9</v>
      </c>
      <c r="R88" s="26">
        <v>5551722172</v>
      </c>
      <c r="S88" s="31" t="s">
        <v>2213</v>
      </c>
      <c r="T88" s="26" t="s">
        <v>2254</v>
      </c>
      <c r="U88" s="31" t="s">
        <v>2253</v>
      </c>
      <c r="V88" s="31" t="s">
        <v>251</v>
      </c>
      <c r="W88" s="31" t="s">
        <v>252</v>
      </c>
      <c r="X88" s="31" t="s">
        <v>241</v>
      </c>
      <c r="Y88" s="31">
        <v>2710</v>
      </c>
      <c r="Z88" s="31" t="s">
        <v>57</v>
      </c>
      <c r="AA88" s="31" t="s">
        <v>57</v>
      </c>
      <c r="AB88" s="31" t="s">
        <v>253</v>
      </c>
      <c r="AC88" s="31">
        <v>5553537256</v>
      </c>
      <c r="AD88" s="31">
        <v>5553537336</v>
      </c>
    </row>
    <row r="89" spans="1:31" x14ac:dyDescent="0.2">
      <c r="A89" s="26">
        <v>11560</v>
      </c>
      <c r="B89" s="26">
        <f>VLOOKUP(A89,Hoja1!A:A,1,FALSE)</f>
        <v>11560</v>
      </c>
      <c r="C89" s="27" t="s">
        <v>254</v>
      </c>
      <c r="D89" s="28" t="s">
        <v>48</v>
      </c>
      <c r="E89" s="29" t="s">
        <v>8</v>
      </c>
      <c r="F89" s="29" t="s">
        <v>8</v>
      </c>
      <c r="G89" s="30">
        <v>41799</v>
      </c>
      <c r="H89" s="26" t="s">
        <v>49</v>
      </c>
      <c r="I89" s="26" t="s">
        <v>110</v>
      </c>
      <c r="J89" s="26" t="s">
        <v>110</v>
      </c>
      <c r="K89" s="26">
        <v>84636</v>
      </c>
      <c r="L89" s="31" t="s">
        <v>2332</v>
      </c>
      <c r="M89" s="26">
        <v>6284</v>
      </c>
      <c r="N89" s="31" t="s">
        <v>2237</v>
      </c>
      <c r="O89" s="26" t="s">
        <v>53</v>
      </c>
      <c r="P89" s="29" t="s">
        <v>53</v>
      </c>
      <c r="Q89" s="31" t="s">
        <v>9</v>
      </c>
      <c r="R89" s="26">
        <v>5551722172</v>
      </c>
      <c r="S89" s="31" t="s">
        <v>2213</v>
      </c>
      <c r="T89" s="26" t="s">
        <v>2254</v>
      </c>
      <c r="U89" s="31" t="s">
        <v>2253</v>
      </c>
      <c r="V89" s="31" t="s">
        <v>255</v>
      </c>
      <c r="W89" s="31" t="s">
        <v>256</v>
      </c>
      <c r="X89" s="31" t="s">
        <v>241</v>
      </c>
      <c r="Y89" s="31">
        <v>2080</v>
      </c>
      <c r="Z89" s="31" t="s">
        <v>57</v>
      </c>
      <c r="AA89" s="31" t="s">
        <v>57</v>
      </c>
      <c r="AB89" s="31" t="s">
        <v>257</v>
      </c>
      <c r="AC89" s="31">
        <v>5553413765</v>
      </c>
      <c r="AD89" s="31">
        <v>5553413505</v>
      </c>
    </row>
    <row r="90" spans="1:31" s="27" customFormat="1" x14ac:dyDescent="0.2">
      <c r="A90" s="26">
        <v>11881</v>
      </c>
      <c r="B90" s="26">
        <f>VLOOKUP(A90,Hoja1!A:A,1,FALSE)</f>
        <v>11881</v>
      </c>
      <c r="C90" s="27" t="s">
        <v>258</v>
      </c>
      <c r="D90" s="28" t="s">
        <v>48</v>
      </c>
      <c r="E90" s="29" t="s">
        <v>8</v>
      </c>
      <c r="F90" s="29" t="s">
        <v>8</v>
      </c>
      <c r="G90" s="30">
        <v>39053</v>
      </c>
      <c r="H90" s="26" t="s">
        <v>49</v>
      </c>
      <c r="I90" s="26" t="s">
        <v>50</v>
      </c>
      <c r="J90" s="26" t="s">
        <v>153</v>
      </c>
      <c r="K90" s="26">
        <v>13737</v>
      </c>
      <c r="L90" s="31" t="s">
        <v>2333</v>
      </c>
      <c r="M90" s="26">
        <v>6284</v>
      </c>
      <c r="N90" s="31" t="s">
        <v>2237</v>
      </c>
      <c r="O90" s="26" t="s">
        <v>53</v>
      </c>
      <c r="P90" s="29" t="s">
        <v>53</v>
      </c>
      <c r="Q90" s="31" t="s">
        <v>9</v>
      </c>
      <c r="R90" s="26">
        <v>5551722172</v>
      </c>
      <c r="S90" s="31" t="s">
        <v>2213</v>
      </c>
      <c r="T90" s="26" t="s">
        <v>2254</v>
      </c>
      <c r="U90" s="31" t="s">
        <v>2253</v>
      </c>
      <c r="V90" s="31" t="s">
        <v>259</v>
      </c>
      <c r="W90" s="31" t="s">
        <v>260</v>
      </c>
      <c r="X90" s="31" t="s">
        <v>69</v>
      </c>
      <c r="Y90" s="31">
        <v>7760</v>
      </c>
      <c r="Z90" s="31" t="s">
        <v>57</v>
      </c>
      <c r="AA90" s="31" t="s">
        <v>57</v>
      </c>
      <c r="AB90" s="31" t="s">
        <v>261</v>
      </c>
      <c r="AC90" s="31">
        <v>5551190773</v>
      </c>
      <c r="AD90" s="31">
        <v>5551190773</v>
      </c>
      <c r="AE90" s="13"/>
    </row>
    <row r="91" spans="1:31" x14ac:dyDescent="0.2">
      <c r="A91" s="26">
        <v>11928</v>
      </c>
      <c r="B91" s="26">
        <f>VLOOKUP(A91,Hoja1!A:A,1,FALSE)</f>
        <v>11928</v>
      </c>
      <c r="C91" s="27" t="s">
        <v>262</v>
      </c>
      <c r="D91" s="28" t="s">
        <v>48</v>
      </c>
      <c r="E91" s="29" t="s">
        <v>8</v>
      </c>
      <c r="F91" s="29" t="s">
        <v>8</v>
      </c>
      <c r="G91" s="30">
        <v>41138</v>
      </c>
      <c r="H91" s="26" t="s">
        <v>49</v>
      </c>
      <c r="I91" s="26" t="s">
        <v>50</v>
      </c>
      <c r="J91" s="26" t="s">
        <v>153</v>
      </c>
      <c r="K91" s="26">
        <v>14007</v>
      </c>
      <c r="L91" s="31" t="s">
        <v>2334</v>
      </c>
      <c r="M91" s="26">
        <v>6284</v>
      </c>
      <c r="N91" s="31" t="s">
        <v>2237</v>
      </c>
      <c r="O91" s="26" t="s">
        <v>53</v>
      </c>
      <c r="P91" s="29" t="s">
        <v>53</v>
      </c>
      <c r="Q91" s="31" t="s">
        <v>9</v>
      </c>
      <c r="R91" s="26">
        <v>5551722172</v>
      </c>
      <c r="S91" s="31" t="s">
        <v>2213</v>
      </c>
      <c r="T91" s="26" t="s">
        <v>2254</v>
      </c>
      <c r="U91" s="31" t="s">
        <v>2253</v>
      </c>
      <c r="V91" s="31" t="s">
        <v>263</v>
      </c>
      <c r="W91" s="31" t="s">
        <v>264</v>
      </c>
      <c r="X91" s="31" t="s">
        <v>241</v>
      </c>
      <c r="Y91" s="31">
        <v>2430</v>
      </c>
      <c r="Z91" s="31" t="s">
        <v>57</v>
      </c>
      <c r="AA91" s="31" t="s">
        <v>57</v>
      </c>
      <c r="AB91" s="31" t="s">
        <v>265</v>
      </c>
      <c r="AC91" s="31">
        <v>5591270146</v>
      </c>
      <c r="AD91" s="31">
        <v>5591270146</v>
      </c>
    </row>
    <row r="92" spans="1:31" x14ac:dyDescent="0.2">
      <c r="A92" s="26">
        <v>11940</v>
      </c>
      <c r="B92" s="26">
        <f>VLOOKUP(A92,Hoja1!A:A,1,FALSE)</f>
        <v>11940</v>
      </c>
      <c r="C92" s="27" t="s">
        <v>266</v>
      </c>
      <c r="D92" s="28" t="s">
        <v>48</v>
      </c>
      <c r="E92" s="29" t="s">
        <v>8</v>
      </c>
      <c r="F92" s="29" t="s">
        <v>8</v>
      </c>
      <c r="G92" s="30">
        <v>42656</v>
      </c>
      <c r="H92" s="26" t="s">
        <v>49</v>
      </c>
      <c r="I92" s="26" t="s">
        <v>50</v>
      </c>
      <c r="J92" s="26" t="s">
        <v>153</v>
      </c>
      <c r="K92" s="26">
        <v>9379</v>
      </c>
      <c r="L92" s="31" t="s">
        <v>2335</v>
      </c>
      <c r="M92" s="26">
        <v>6284</v>
      </c>
      <c r="N92" s="31" t="s">
        <v>2237</v>
      </c>
      <c r="O92" s="26" t="s">
        <v>53</v>
      </c>
      <c r="P92" s="29" t="s">
        <v>53</v>
      </c>
      <c r="Q92" s="31" t="s">
        <v>9</v>
      </c>
      <c r="R92" s="26">
        <v>5551722172</v>
      </c>
      <c r="S92" s="31" t="s">
        <v>2213</v>
      </c>
      <c r="T92" s="26" t="s">
        <v>2254</v>
      </c>
      <c r="U92" s="31" t="s">
        <v>2253</v>
      </c>
      <c r="V92" s="31" t="s">
        <v>267</v>
      </c>
      <c r="W92" s="31" t="s">
        <v>268</v>
      </c>
      <c r="X92" s="31" t="s">
        <v>241</v>
      </c>
      <c r="Y92" s="31">
        <v>2300</v>
      </c>
      <c r="Z92" s="31" t="s">
        <v>57</v>
      </c>
      <c r="AA92" s="31" t="s">
        <v>57</v>
      </c>
      <c r="AB92" s="31" t="s">
        <v>269</v>
      </c>
      <c r="AC92" s="31">
        <v>5591307082</v>
      </c>
      <c r="AD92" s="31">
        <v>5591307082</v>
      </c>
    </row>
    <row r="93" spans="1:31" x14ac:dyDescent="0.2">
      <c r="A93" s="26">
        <v>12311</v>
      </c>
      <c r="B93" s="26">
        <f>VLOOKUP(A93,Hoja1!A:A,1,FALSE)</f>
        <v>12311</v>
      </c>
      <c r="C93" s="27" t="s">
        <v>270</v>
      </c>
      <c r="D93" s="28" t="s">
        <v>48</v>
      </c>
      <c r="E93" s="29" t="s">
        <v>8</v>
      </c>
      <c r="F93" s="29" t="s">
        <v>8</v>
      </c>
      <c r="G93" s="30">
        <v>43390</v>
      </c>
      <c r="H93" s="26" t="s">
        <v>49</v>
      </c>
      <c r="I93" s="26" t="s">
        <v>110</v>
      </c>
      <c r="J93" s="26" t="s">
        <v>110</v>
      </c>
      <c r="K93" s="26" t="s">
        <v>395</v>
      </c>
      <c r="L93" s="31" t="s">
        <v>395</v>
      </c>
      <c r="M93" s="26">
        <v>6284</v>
      </c>
      <c r="N93" s="31" t="s">
        <v>2237</v>
      </c>
      <c r="O93" s="26" t="s">
        <v>53</v>
      </c>
      <c r="P93" s="29" t="s">
        <v>53</v>
      </c>
      <c r="Q93" s="31" t="s">
        <v>9</v>
      </c>
      <c r="R93" s="26">
        <v>5551722172</v>
      </c>
      <c r="S93" s="31" t="s">
        <v>2213</v>
      </c>
      <c r="T93" s="26" t="s">
        <v>2254</v>
      </c>
      <c r="U93" s="31" t="s">
        <v>2253</v>
      </c>
      <c r="V93" s="31" t="s">
        <v>271</v>
      </c>
      <c r="W93" s="31" t="s">
        <v>272</v>
      </c>
      <c r="X93" s="31" t="s">
        <v>273</v>
      </c>
      <c r="Y93" s="31">
        <v>54150</v>
      </c>
      <c r="Z93" s="31" t="s">
        <v>57</v>
      </c>
      <c r="AA93" s="31" t="s">
        <v>57</v>
      </c>
      <c r="AB93" s="31" t="s">
        <v>274</v>
      </c>
      <c r="AC93" s="31">
        <v>5514544537</v>
      </c>
      <c r="AD93" s="31">
        <v>5514544537</v>
      </c>
    </row>
    <row r="94" spans="1:31" x14ac:dyDescent="0.2">
      <c r="A94" s="26">
        <v>11154</v>
      </c>
      <c r="B94" s="26">
        <f>VLOOKUP(A94,Hoja1!A:A,1,FALSE)</f>
        <v>11154</v>
      </c>
      <c r="C94" s="27" t="s">
        <v>360</v>
      </c>
      <c r="D94" s="28" t="s">
        <v>48</v>
      </c>
      <c r="E94" s="29" t="s">
        <v>8</v>
      </c>
      <c r="F94" s="29" t="s">
        <v>8</v>
      </c>
      <c r="G94" s="30">
        <v>35689</v>
      </c>
      <c r="H94" s="26" t="s">
        <v>49</v>
      </c>
      <c r="I94" s="26" t="s">
        <v>110</v>
      </c>
      <c r="J94" s="26" t="s">
        <v>110</v>
      </c>
      <c r="K94" s="26">
        <v>13696</v>
      </c>
      <c r="L94" s="31" t="s">
        <v>2336</v>
      </c>
      <c r="M94" s="26">
        <v>4994</v>
      </c>
      <c r="N94" s="31" t="s">
        <v>361</v>
      </c>
      <c r="O94" s="26">
        <v>5537077298</v>
      </c>
      <c r="P94" s="29" t="s">
        <v>2171</v>
      </c>
      <c r="Q94" s="31" t="s">
        <v>9</v>
      </c>
      <c r="R94" s="26">
        <v>5551722172</v>
      </c>
      <c r="S94" s="31" t="s">
        <v>2213</v>
      </c>
      <c r="T94" s="26" t="s">
        <v>2254</v>
      </c>
      <c r="U94" s="31" t="s">
        <v>2253</v>
      </c>
      <c r="V94" s="31" t="s">
        <v>362</v>
      </c>
      <c r="W94" s="31" t="s">
        <v>363</v>
      </c>
      <c r="X94" s="31" t="s">
        <v>364</v>
      </c>
      <c r="Y94" s="31">
        <v>55712</v>
      </c>
      <c r="Z94" s="31" t="s">
        <v>118</v>
      </c>
      <c r="AA94" s="31" t="s">
        <v>118</v>
      </c>
      <c r="AB94" s="31" t="s">
        <v>365</v>
      </c>
      <c r="AC94" s="31">
        <v>5515420159</v>
      </c>
      <c r="AD94" s="31">
        <v>5515420003</v>
      </c>
    </row>
    <row r="95" spans="1:31" x14ac:dyDescent="0.2">
      <c r="A95" s="26">
        <v>11164</v>
      </c>
      <c r="B95" s="26">
        <f>VLOOKUP(A95,Hoja1!A:A,1,FALSE)</f>
        <v>11164</v>
      </c>
      <c r="C95" s="27" t="s">
        <v>366</v>
      </c>
      <c r="D95" s="28" t="s">
        <v>48</v>
      </c>
      <c r="E95" s="29" t="s">
        <v>8</v>
      </c>
      <c r="F95" s="29" t="s">
        <v>8</v>
      </c>
      <c r="G95" s="30">
        <v>35866</v>
      </c>
      <c r="H95" s="26" t="s">
        <v>49</v>
      </c>
      <c r="I95" s="26" t="s">
        <v>110</v>
      </c>
      <c r="J95" s="26" t="s">
        <v>110</v>
      </c>
      <c r="K95" s="26">
        <v>17394</v>
      </c>
      <c r="L95" s="31" t="s">
        <v>2337</v>
      </c>
      <c r="M95" s="26">
        <v>4994</v>
      </c>
      <c r="N95" s="31" t="s">
        <v>361</v>
      </c>
      <c r="O95" s="26">
        <v>5537077298</v>
      </c>
      <c r="P95" s="29" t="s">
        <v>2171</v>
      </c>
      <c r="Q95" s="31" t="s">
        <v>9</v>
      </c>
      <c r="R95" s="26">
        <v>5551722172</v>
      </c>
      <c r="S95" s="31" t="s">
        <v>2213</v>
      </c>
      <c r="T95" s="26" t="s">
        <v>2254</v>
      </c>
      <c r="U95" s="31" t="s">
        <v>2253</v>
      </c>
      <c r="V95" s="31" t="s">
        <v>367</v>
      </c>
      <c r="W95" s="31" t="s">
        <v>368</v>
      </c>
      <c r="X95" s="31" t="s">
        <v>126</v>
      </c>
      <c r="Y95" s="31">
        <v>55000</v>
      </c>
      <c r="Z95" s="31" t="s">
        <v>118</v>
      </c>
      <c r="AA95" s="31" t="s">
        <v>118</v>
      </c>
      <c r="AB95" s="31" t="s">
        <v>369</v>
      </c>
      <c r="AC95" s="31">
        <v>5557879015</v>
      </c>
      <c r="AD95" s="31">
        <v>5557879010</v>
      </c>
    </row>
    <row r="96" spans="1:31" x14ac:dyDescent="0.2">
      <c r="A96" s="26">
        <v>11193</v>
      </c>
      <c r="B96" s="26">
        <f>VLOOKUP(A96,Hoja1!A:A,1,FALSE)</f>
        <v>11193</v>
      </c>
      <c r="C96" s="27" t="s">
        <v>370</v>
      </c>
      <c r="D96" s="28" t="s">
        <v>48</v>
      </c>
      <c r="E96" s="29" t="s">
        <v>8</v>
      </c>
      <c r="F96" s="29" t="s">
        <v>8</v>
      </c>
      <c r="G96" s="30">
        <v>35973</v>
      </c>
      <c r="H96" s="26" t="s">
        <v>49</v>
      </c>
      <c r="I96" s="26" t="s">
        <v>110</v>
      </c>
      <c r="J96" s="26" t="s">
        <v>110</v>
      </c>
      <c r="K96" s="26">
        <v>102812</v>
      </c>
      <c r="L96" s="31" t="s">
        <v>2338</v>
      </c>
      <c r="M96" s="26">
        <v>4994</v>
      </c>
      <c r="N96" s="31" t="s">
        <v>361</v>
      </c>
      <c r="O96" s="26">
        <v>5537077298</v>
      </c>
      <c r="P96" s="29" t="s">
        <v>2171</v>
      </c>
      <c r="Q96" s="31" t="s">
        <v>9</v>
      </c>
      <c r="R96" s="26">
        <v>5551722172</v>
      </c>
      <c r="S96" s="31" t="s">
        <v>2213</v>
      </c>
      <c r="T96" s="26" t="s">
        <v>2254</v>
      </c>
      <c r="U96" s="31" t="s">
        <v>2253</v>
      </c>
      <c r="V96" s="31" t="s">
        <v>371</v>
      </c>
      <c r="W96" s="31" t="s">
        <v>372</v>
      </c>
      <c r="X96" s="31" t="s">
        <v>373</v>
      </c>
      <c r="Y96" s="31">
        <v>54930</v>
      </c>
      <c r="Z96" s="31" t="s">
        <v>118</v>
      </c>
      <c r="AA96" s="31" t="s">
        <v>118</v>
      </c>
      <c r="AB96" s="31" t="s">
        <v>374</v>
      </c>
      <c r="AC96" s="31">
        <v>5558791444</v>
      </c>
      <c r="AD96" s="31">
        <v>5558795050</v>
      </c>
    </row>
    <row r="97" spans="1:30" x14ac:dyDescent="0.2">
      <c r="A97" s="26">
        <v>11242</v>
      </c>
      <c r="B97" s="26">
        <f>VLOOKUP(A97,Hoja1!A:A,1,FALSE)</f>
        <v>11242</v>
      </c>
      <c r="C97" s="27" t="s">
        <v>375</v>
      </c>
      <c r="D97" s="28" t="s">
        <v>48</v>
      </c>
      <c r="E97" s="29" t="s">
        <v>8</v>
      </c>
      <c r="F97" s="29" t="s">
        <v>8</v>
      </c>
      <c r="G97" s="30">
        <v>36456</v>
      </c>
      <c r="H97" s="26" t="s">
        <v>49</v>
      </c>
      <c r="I97" s="26" t="s">
        <v>110</v>
      </c>
      <c r="J97" s="26" t="s">
        <v>110</v>
      </c>
      <c r="K97" s="26">
        <v>81905</v>
      </c>
      <c r="L97" s="31" t="s">
        <v>2339</v>
      </c>
      <c r="M97" s="26">
        <v>4994</v>
      </c>
      <c r="N97" s="31" t="s">
        <v>361</v>
      </c>
      <c r="O97" s="26">
        <v>5537077298</v>
      </c>
      <c r="P97" s="29" t="s">
        <v>2171</v>
      </c>
      <c r="Q97" s="31" t="s">
        <v>9</v>
      </c>
      <c r="R97" s="26">
        <v>5551722172</v>
      </c>
      <c r="S97" s="31" t="s">
        <v>2213</v>
      </c>
      <c r="T97" s="26" t="s">
        <v>2254</v>
      </c>
      <c r="U97" s="31" t="s">
        <v>2253</v>
      </c>
      <c r="V97" s="31" t="s">
        <v>376</v>
      </c>
      <c r="W97" s="31" t="s">
        <v>377</v>
      </c>
      <c r="X97" s="31" t="s">
        <v>126</v>
      </c>
      <c r="Y97" s="31">
        <v>55010</v>
      </c>
      <c r="Z97" s="31" t="s">
        <v>118</v>
      </c>
      <c r="AA97" s="31" t="s">
        <v>118</v>
      </c>
      <c r="AB97" s="31" t="s">
        <v>378</v>
      </c>
      <c r="AC97" s="31">
        <v>5558356155</v>
      </c>
      <c r="AD97" s="31">
        <v>5558357777</v>
      </c>
    </row>
    <row r="98" spans="1:30" x14ac:dyDescent="0.2">
      <c r="A98" s="26">
        <v>11306</v>
      </c>
      <c r="B98" s="26">
        <f>VLOOKUP(A98,Hoja1!A:A,1,FALSE)</f>
        <v>11306</v>
      </c>
      <c r="C98" s="27" t="s">
        <v>379</v>
      </c>
      <c r="D98" s="28" t="s">
        <v>48</v>
      </c>
      <c r="E98" s="29" t="s">
        <v>8</v>
      </c>
      <c r="F98" s="29" t="s">
        <v>8</v>
      </c>
      <c r="G98" s="30">
        <v>36650</v>
      </c>
      <c r="H98" s="26" t="s">
        <v>49</v>
      </c>
      <c r="I98" s="26" t="s">
        <v>110</v>
      </c>
      <c r="J98" s="26" t="s">
        <v>110</v>
      </c>
      <c r="K98" s="26">
        <v>649</v>
      </c>
      <c r="L98" s="31" t="s">
        <v>2340</v>
      </c>
      <c r="M98" s="26">
        <v>4994</v>
      </c>
      <c r="N98" s="31" t="s">
        <v>361</v>
      </c>
      <c r="O98" s="26">
        <v>5537077298</v>
      </c>
      <c r="P98" s="29" t="s">
        <v>2171</v>
      </c>
      <c r="Q98" s="31" t="s">
        <v>9</v>
      </c>
      <c r="R98" s="26">
        <v>5551722172</v>
      </c>
      <c r="S98" s="31" t="s">
        <v>2213</v>
      </c>
      <c r="T98" s="26" t="s">
        <v>2254</v>
      </c>
      <c r="U98" s="31" t="s">
        <v>2253</v>
      </c>
      <c r="V98" s="31" t="s">
        <v>380</v>
      </c>
      <c r="W98" s="31" t="s">
        <v>381</v>
      </c>
      <c r="X98" s="31" t="s">
        <v>382</v>
      </c>
      <c r="Y98" s="31">
        <v>55770</v>
      </c>
      <c r="Z98" s="31" t="s">
        <v>118</v>
      </c>
      <c r="AA98" s="31" t="s">
        <v>118</v>
      </c>
      <c r="AB98" s="31" t="s">
        <v>383</v>
      </c>
      <c r="AC98" s="31">
        <v>5559321644</v>
      </c>
      <c r="AD98" s="31">
        <v>5559323232</v>
      </c>
    </row>
    <row r="99" spans="1:30" x14ac:dyDescent="0.2">
      <c r="A99" s="26">
        <v>11477</v>
      </c>
      <c r="B99" s="26">
        <f>VLOOKUP(A99,Hoja1!A:A,1,FALSE)</f>
        <v>11477</v>
      </c>
      <c r="C99" s="27" t="s">
        <v>382</v>
      </c>
      <c r="D99" s="28" t="s">
        <v>48</v>
      </c>
      <c r="E99" s="29" t="s">
        <v>8</v>
      </c>
      <c r="F99" s="29" t="s">
        <v>8</v>
      </c>
      <c r="G99" s="30">
        <v>38661</v>
      </c>
      <c r="H99" s="26" t="s">
        <v>49</v>
      </c>
      <c r="I99" s="26" t="s">
        <v>110</v>
      </c>
      <c r="J99" s="26" t="s">
        <v>110</v>
      </c>
      <c r="K99" s="26">
        <v>43630</v>
      </c>
      <c r="L99" s="31" t="s">
        <v>2341</v>
      </c>
      <c r="M99" s="26">
        <v>4994</v>
      </c>
      <c r="N99" s="31" t="s">
        <v>361</v>
      </c>
      <c r="O99" s="26">
        <v>5537077298</v>
      </c>
      <c r="P99" s="29" t="s">
        <v>2171</v>
      </c>
      <c r="Q99" s="31" t="s">
        <v>9</v>
      </c>
      <c r="R99" s="26">
        <v>5551722172</v>
      </c>
      <c r="S99" s="31" t="s">
        <v>2213</v>
      </c>
      <c r="T99" s="26" t="s">
        <v>2254</v>
      </c>
      <c r="U99" s="31" t="s">
        <v>2253</v>
      </c>
      <c r="V99" s="31" t="s">
        <v>384</v>
      </c>
      <c r="W99" s="31" t="s">
        <v>385</v>
      </c>
      <c r="X99" s="31" t="s">
        <v>382</v>
      </c>
      <c r="Y99" s="31">
        <v>55740</v>
      </c>
      <c r="Z99" s="31" t="s">
        <v>118</v>
      </c>
      <c r="AA99" s="31" t="s">
        <v>118</v>
      </c>
      <c r="AB99" s="31" t="s">
        <v>386</v>
      </c>
      <c r="AC99" s="31">
        <v>5559359179</v>
      </c>
      <c r="AD99" s="31">
        <v>5559359185</v>
      </c>
    </row>
    <row r="100" spans="1:30" x14ac:dyDescent="0.2">
      <c r="A100" s="26">
        <v>11548</v>
      </c>
      <c r="B100" s="26">
        <f>VLOOKUP(A100,Hoja1!A:A,1,FALSE)</f>
        <v>11548</v>
      </c>
      <c r="C100" s="27" t="s">
        <v>387</v>
      </c>
      <c r="D100" s="28" t="s">
        <v>48</v>
      </c>
      <c r="E100" s="29" t="s">
        <v>8</v>
      </c>
      <c r="F100" s="29" t="s">
        <v>8</v>
      </c>
      <c r="G100" s="30">
        <v>41190</v>
      </c>
      <c r="H100" s="26" t="s">
        <v>49</v>
      </c>
      <c r="I100" s="26" t="s">
        <v>110</v>
      </c>
      <c r="J100" s="26" t="s">
        <v>110</v>
      </c>
      <c r="K100" s="26">
        <v>4614</v>
      </c>
      <c r="L100" s="31" t="s">
        <v>2342</v>
      </c>
      <c r="M100" s="26">
        <v>4994</v>
      </c>
      <c r="N100" s="31" t="s">
        <v>361</v>
      </c>
      <c r="O100" s="26">
        <v>5537077298</v>
      </c>
      <c r="P100" s="29" t="s">
        <v>2171</v>
      </c>
      <c r="Q100" s="31" t="s">
        <v>9</v>
      </c>
      <c r="R100" s="26">
        <v>5551722172</v>
      </c>
      <c r="S100" s="31" t="s">
        <v>2213</v>
      </c>
      <c r="T100" s="26" t="s">
        <v>2254</v>
      </c>
      <c r="U100" s="31" t="s">
        <v>2253</v>
      </c>
      <c r="V100" s="31" t="s">
        <v>388</v>
      </c>
      <c r="W100" s="31" t="s">
        <v>389</v>
      </c>
      <c r="X100" s="31" t="s">
        <v>387</v>
      </c>
      <c r="Y100" s="31">
        <v>55600</v>
      </c>
      <c r="Z100" s="31" t="s">
        <v>118</v>
      </c>
      <c r="AA100" s="31" t="s">
        <v>118</v>
      </c>
      <c r="AB100" s="31" t="s">
        <v>390</v>
      </c>
      <c r="AC100" s="31">
        <v>5919186169</v>
      </c>
      <c r="AD100" s="31">
        <v>5919186169</v>
      </c>
    </row>
    <row r="101" spans="1:30" x14ac:dyDescent="0.2">
      <c r="A101" s="26">
        <v>12342</v>
      </c>
      <c r="B101" s="26">
        <f>VLOOKUP(A101,Hoja1!A:A,1,FALSE)</f>
        <v>12342</v>
      </c>
      <c r="C101" s="27" t="s">
        <v>391</v>
      </c>
      <c r="D101" s="28" t="s">
        <v>48</v>
      </c>
      <c r="E101" s="29" t="s">
        <v>8</v>
      </c>
      <c r="F101" s="29" t="s">
        <v>8</v>
      </c>
      <c r="G101" s="30">
        <v>43440</v>
      </c>
      <c r="H101" s="26" t="s">
        <v>49</v>
      </c>
      <c r="I101" s="26" t="s">
        <v>110</v>
      </c>
      <c r="J101" s="26" t="s">
        <v>110</v>
      </c>
      <c r="K101" s="26">
        <v>18774</v>
      </c>
      <c r="L101" s="31" t="s">
        <v>2343</v>
      </c>
      <c r="M101" s="26">
        <v>4994</v>
      </c>
      <c r="N101" s="31" t="s">
        <v>361</v>
      </c>
      <c r="O101" s="26">
        <v>5537077298</v>
      </c>
      <c r="P101" s="29" t="s">
        <v>2171</v>
      </c>
      <c r="Q101" s="31" t="s">
        <v>9</v>
      </c>
      <c r="R101" s="26">
        <v>5551722172</v>
      </c>
      <c r="S101" s="31" t="s">
        <v>2213</v>
      </c>
      <c r="T101" s="26" t="s">
        <v>2254</v>
      </c>
      <c r="U101" s="31" t="s">
        <v>2253</v>
      </c>
      <c r="V101" s="31" t="s">
        <v>392</v>
      </c>
      <c r="W101" s="31" t="s">
        <v>393</v>
      </c>
      <c r="X101" s="31" t="s">
        <v>126</v>
      </c>
      <c r="Y101" s="31">
        <v>55020</v>
      </c>
      <c r="Z101" s="31" t="s">
        <v>118</v>
      </c>
      <c r="AA101" s="31" t="s">
        <v>118</v>
      </c>
      <c r="AB101" s="31" t="s">
        <v>394</v>
      </c>
      <c r="AC101" s="31">
        <v>5576767503</v>
      </c>
      <c r="AD101" s="31">
        <v>5514544531</v>
      </c>
    </row>
    <row r="102" spans="1:30" x14ac:dyDescent="0.2">
      <c r="A102" s="26">
        <v>11087</v>
      </c>
      <c r="B102" s="26">
        <f>VLOOKUP(A102,Hoja1!A:A,1,FALSE)</f>
        <v>11087</v>
      </c>
      <c r="C102" s="27" t="s">
        <v>439</v>
      </c>
      <c r="D102" s="28" t="s">
        <v>48</v>
      </c>
      <c r="E102" s="29" t="s">
        <v>8</v>
      </c>
      <c r="F102" s="29" t="s">
        <v>8</v>
      </c>
      <c r="G102" s="30">
        <v>33980</v>
      </c>
      <c r="H102" s="26" t="s">
        <v>49</v>
      </c>
      <c r="I102" s="26" t="s">
        <v>110</v>
      </c>
      <c r="J102" s="26" t="s">
        <v>110</v>
      </c>
      <c r="K102" s="26">
        <v>29256</v>
      </c>
      <c r="L102" s="31" t="s">
        <v>2344</v>
      </c>
      <c r="M102" s="26">
        <v>6029</v>
      </c>
      <c r="N102" s="31" t="s">
        <v>440</v>
      </c>
      <c r="O102" s="26">
        <v>5527291683</v>
      </c>
      <c r="P102" s="29" t="s">
        <v>2173</v>
      </c>
      <c r="Q102" s="31" t="s">
        <v>9</v>
      </c>
      <c r="R102" s="26">
        <v>5551722172</v>
      </c>
      <c r="S102" s="31" t="s">
        <v>2213</v>
      </c>
      <c r="T102" s="26" t="s">
        <v>2254</v>
      </c>
      <c r="U102" s="31" t="s">
        <v>2253</v>
      </c>
      <c r="V102" s="31" t="s">
        <v>441</v>
      </c>
      <c r="W102" s="31" t="s">
        <v>442</v>
      </c>
      <c r="X102" s="31" t="s">
        <v>99</v>
      </c>
      <c r="Y102" s="31">
        <v>54060</v>
      </c>
      <c r="Z102" s="31" t="s">
        <v>118</v>
      </c>
      <c r="AA102" s="31" t="s">
        <v>118</v>
      </c>
      <c r="AB102" s="31" t="s">
        <v>443</v>
      </c>
      <c r="AC102" s="31">
        <v>5553615545</v>
      </c>
      <c r="AD102" s="31">
        <v>5553615545</v>
      </c>
    </row>
    <row r="103" spans="1:30" x14ac:dyDescent="0.2">
      <c r="A103" s="26">
        <v>11168</v>
      </c>
      <c r="B103" s="26">
        <f>VLOOKUP(A103,Hoja1!A:A,1,FALSE)</f>
        <v>11168</v>
      </c>
      <c r="C103" s="27" t="s">
        <v>444</v>
      </c>
      <c r="D103" s="28" t="s">
        <v>48</v>
      </c>
      <c r="E103" s="29" t="s">
        <v>8</v>
      </c>
      <c r="F103" s="29" t="s">
        <v>8</v>
      </c>
      <c r="G103" s="30">
        <v>36099</v>
      </c>
      <c r="H103" s="26" t="s">
        <v>49</v>
      </c>
      <c r="I103" s="26" t="s">
        <v>110</v>
      </c>
      <c r="J103" s="26" t="s">
        <v>110</v>
      </c>
      <c r="K103" s="26">
        <v>50709</v>
      </c>
      <c r="L103" s="31" t="s">
        <v>2345</v>
      </c>
      <c r="M103" s="26">
        <v>6029</v>
      </c>
      <c r="N103" s="31" t="s">
        <v>440</v>
      </c>
      <c r="O103" s="26">
        <v>5527291683</v>
      </c>
      <c r="P103" s="29" t="s">
        <v>2173</v>
      </c>
      <c r="Q103" s="31" t="s">
        <v>9</v>
      </c>
      <c r="R103" s="26">
        <v>5551722172</v>
      </c>
      <c r="S103" s="31" t="s">
        <v>2213</v>
      </c>
      <c r="T103" s="26" t="s">
        <v>2254</v>
      </c>
      <c r="U103" s="31" t="s">
        <v>2253</v>
      </c>
      <c r="V103" s="31" t="s">
        <v>445</v>
      </c>
      <c r="W103" s="31" t="s">
        <v>446</v>
      </c>
      <c r="X103" s="31" t="s">
        <v>447</v>
      </c>
      <c r="Y103" s="31">
        <v>54700</v>
      </c>
      <c r="Z103" s="31" t="s">
        <v>118</v>
      </c>
      <c r="AA103" s="31" t="s">
        <v>118</v>
      </c>
      <c r="AB103" s="31" t="s">
        <v>448</v>
      </c>
      <c r="AC103" s="31">
        <v>5558731388</v>
      </c>
      <c r="AD103" s="31">
        <v>5558738888</v>
      </c>
    </row>
    <row r="104" spans="1:30" x14ac:dyDescent="0.2">
      <c r="A104" s="26">
        <v>11184</v>
      </c>
      <c r="B104" s="26">
        <f>VLOOKUP(A104,Hoja1!A:A,1,FALSE)</f>
        <v>11184</v>
      </c>
      <c r="C104" s="27" t="s">
        <v>1968</v>
      </c>
      <c r="D104" s="28" t="s">
        <v>48</v>
      </c>
      <c r="E104" s="29" t="s">
        <v>8</v>
      </c>
      <c r="F104" s="29" t="s">
        <v>8</v>
      </c>
      <c r="G104" s="30">
        <v>35905</v>
      </c>
      <c r="H104" s="26" t="s">
        <v>49</v>
      </c>
      <c r="I104" s="26" t="s">
        <v>110</v>
      </c>
      <c r="J104" s="26" t="s">
        <v>110</v>
      </c>
      <c r="K104" s="26">
        <v>50695</v>
      </c>
      <c r="L104" s="31" t="s">
        <v>2346</v>
      </c>
      <c r="M104" s="26">
        <v>6029</v>
      </c>
      <c r="N104" s="31" t="s">
        <v>440</v>
      </c>
      <c r="O104" s="26">
        <v>5527291683</v>
      </c>
      <c r="P104" s="29" t="s">
        <v>2173</v>
      </c>
      <c r="Q104" s="31" t="s">
        <v>9</v>
      </c>
      <c r="R104" s="26">
        <v>5551722172</v>
      </c>
      <c r="S104" s="31" t="s">
        <v>2213</v>
      </c>
      <c r="T104" s="26" t="s">
        <v>2254</v>
      </c>
      <c r="U104" s="31" t="s">
        <v>2253</v>
      </c>
      <c r="V104" s="31" t="s">
        <v>449</v>
      </c>
      <c r="W104" s="31" t="s">
        <v>450</v>
      </c>
      <c r="X104" s="31" t="s">
        <v>99</v>
      </c>
      <c r="Y104" s="31">
        <v>52929</v>
      </c>
      <c r="Z104" s="31" t="s">
        <v>308</v>
      </c>
      <c r="AA104" s="31" t="s">
        <v>118</v>
      </c>
      <c r="AB104" s="31" t="s">
        <v>451</v>
      </c>
      <c r="AC104" s="31">
        <v>5558876969</v>
      </c>
      <c r="AD104" s="31">
        <v>5558876969</v>
      </c>
    </row>
    <row r="105" spans="1:30" x14ac:dyDescent="0.2">
      <c r="A105" s="26">
        <v>11190</v>
      </c>
      <c r="B105" s="26">
        <f>VLOOKUP(A105,Hoja1!A:A,1,FALSE)</f>
        <v>11190</v>
      </c>
      <c r="C105" s="27" t="s">
        <v>452</v>
      </c>
      <c r="D105" s="28" t="s">
        <v>48</v>
      </c>
      <c r="E105" s="29" t="s">
        <v>8</v>
      </c>
      <c r="F105" s="29" t="s">
        <v>8</v>
      </c>
      <c r="G105" s="30">
        <v>35944</v>
      </c>
      <c r="H105" s="26" t="s">
        <v>49</v>
      </c>
      <c r="I105" s="26" t="s">
        <v>110</v>
      </c>
      <c r="J105" s="26" t="s">
        <v>110</v>
      </c>
      <c r="K105" s="26">
        <v>80886</v>
      </c>
      <c r="L105" s="31" t="s">
        <v>2347</v>
      </c>
      <c r="M105" s="26">
        <v>6029</v>
      </c>
      <c r="N105" s="31" t="s">
        <v>440</v>
      </c>
      <c r="O105" s="26">
        <v>5527291683</v>
      </c>
      <c r="P105" s="29" t="s">
        <v>2173</v>
      </c>
      <c r="Q105" s="31" t="s">
        <v>9</v>
      </c>
      <c r="R105" s="26">
        <v>5551722172</v>
      </c>
      <c r="S105" s="31" t="s">
        <v>2213</v>
      </c>
      <c r="T105" s="26" t="s">
        <v>2254</v>
      </c>
      <c r="U105" s="31" t="s">
        <v>2253</v>
      </c>
      <c r="V105" s="31" t="s">
        <v>453</v>
      </c>
      <c r="W105" s="31" t="s">
        <v>454</v>
      </c>
      <c r="X105" s="31" t="s">
        <v>447</v>
      </c>
      <c r="Y105" s="31">
        <v>54800</v>
      </c>
      <c r="Z105" s="31" t="s">
        <v>118</v>
      </c>
      <c r="AA105" s="31" t="s">
        <v>118</v>
      </c>
      <c r="AB105" s="31" t="s">
        <v>455</v>
      </c>
      <c r="AC105" s="31">
        <v>5558704349</v>
      </c>
      <c r="AD105" s="31">
        <v>5558704114</v>
      </c>
    </row>
    <row r="106" spans="1:30" x14ac:dyDescent="0.2">
      <c r="A106" s="26">
        <v>11239</v>
      </c>
      <c r="B106" s="26">
        <f>VLOOKUP(A106,Hoja1!A:A,1,FALSE)</f>
        <v>11239</v>
      </c>
      <c r="C106" s="27" t="s">
        <v>456</v>
      </c>
      <c r="D106" s="28" t="s">
        <v>48</v>
      </c>
      <c r="E106" s="29" t="s">
        <v>8</v>
      </c>
      <c r="F106" s="29" t="s">
        <v>8</v>
      </c>
      <c r="G106" s="30">
        <v>36401</v>
      </c>
      <c r="H106" s="26" t="s">
        <v>49</v>
      </c>
      <c r="I106" s="26" t="s">
        <v>110</v>
      </c>
      <c r="J106" s="26" t="s">
        <v>110</v>
      </c>
      <c r="K106" s="26">
        <v>18023</v>
      </c>
      <c r="L106" s="31" t="s">
        <v>2348</v>
      </c>
      <c r="M106" s="26">
        <v>6029</v>
      </c>
      <c r="N106" s="31" t="s">
        <v>440</v>
      </c>
      <c r="O106" s="26">
        <v>5527291683</v>
      </c>
      <c r="P106" s="29" t="s">
        <v>2173</v>
      </c>
      <c r="Q106" s="31" t="s">
        <v>9</v>
      </c>
      <c r="R106" s="26">
        <v>5551722172</v>
      </c>
      <c r="S106" s="31" t="s">
        <v>2213</v>
      </c>
      <c r="T106" s="26" t="s">
        <v>2254</v>
      </c>
      <c r="U106" s="31" t="s">
        <v>2253</v>
      </c>
      <c r="V106" s="31" t="s">
        <v>457</v>
      </c>
      <c r="W106" s="31" t="s">
        <v>458</v>
      </c>
      <c r="X106" s="31" t="s">
        <v>447</v>
      </c>
      <c r="Y106" s="31">
        <v>54720</v>
      </c>
      <c r="Z106" s="31" t="s">
        <v>118</v>
      </c>
      <c r="AA106" s="31" t="s">
        <v>118</v>
      </c>
      <c r="AB106" s="31" t="s">
        <v>459</v>
      </c>
      <c r="AC106" s="31">
        <v>5558680018</v>
      </c>
      <c r="AD106" s="31">
        <v>5558680808</v>
      </c>
    </row>
    <row r="107" spans="1:30" x14ac:dyDescent="0.2">
      <c r="A107" s="26">
        <v>11257</v>
      </c>
      <c r="B107" s="26">
        <f>VLOOKUP(A107,Hoja1!A:A,1,FALSE)</f>
        <v>11257</v>
      </c>
      <c r="C107" s="27" t="s">
        <v>460</v>
      </c>
      <c r="D107" s="28" t="s">
        <v>48</v>
      </c>
      <c r="E107" s="29" t="s">
        <v>8</v>
      </c>
      <c r="F107" s="29" t="s">
        <v>8</v>
      </c>
      <c r="G107" s="30">
        <v>36493</v>
      </c>
      <c r="H107" s="26" t="s">
        <v>49</v>
      </c>
      <c r="I107" s="26" t="s">
        <v>110</v>
      </c>
      <c r="J107" s="26" t="s">
        <v>110</v>
      </c>
      <c r="K107" s="26">
        <v>18996</v>
      </c>
      <c r="L107" s="31" t="s">
        <v>2349</v>
      </c>
      <c r="M107" s="26">
        <v>6029</v>
      </c>
      <c r="N107" s="31" t="s">
        <v>440</v>
      </c>
      <c r="O107" s="26">
        <v>5527291683</v>
      </c>
      <c r="P107" s="29" t="s">
        <v>2173</v>
      </c>
      <c r="Q107" s="31" t="s">
        <v>9</v>
      </c>
      <c r="R107" s="26">
        <v>5551722172</v>
      </c>
      <c r="S107" s="31" t="s">
        <v>2213</v>
      </c>
      <c r="T107" s="26" t="s">
        <v>2254</v>
      </c>
      <c r="U107" s="31" t="s">
        <v>2253</v>
      </c>
      <c r="V107" s="31" t="s">
        <v>461</v>
      </c>
      <c r="W107" s="31" t="s">
        <v>462</v>
      </c>
      <c r="X107" s="31" t="s">
        <v>463</v>
      </c>
      <c r="Y107" s="31">
        <v>54434</v>
      </c>
      <c r="Z107" s="31" t="s">
        <v>118</v>
      </c>
      <c r="AA107" s="31" t="s">
        <v>118</v>
      </c>
      <c r="AB107" s="31" t="s">
        <v>464</v>
      </c>
      <c r="AC107" s="31">
        <v>5558237071</v>
      </c>
      <c r="AD107" s="31">
        <v>5558232323</v>
      </c>
    </row>
    <row r="108" spans="1:30" x14ac:dyDescent="0.2">
      <c r="A108" s="26">
        <v>11314</v>
      </c>
      <c r="B108" s="26">
        <f>VLOOKUP(A108,Hoja1!A:A,1,FALSE)</f>
        <v>11314</v>
      </c>
      <c r="C108" s="27" t="s">
        <v>465</v>
      </c>
      <c r="D108" s="28" t="s">
        <v>48</v>
      </c>
      <c r="E108" s="29" t="s">
        <v>8</v>
      </c>
      <c r="F108" s="29" t="s">
        <v>8</v>
      </c>
      <c r="G108" s="30">
        <v>37592</v>
      </c>
      <c r="H108" s="26" t="s">
        <v>49</v>
      </c>
      <c r="I108" s="26" t="s">
        <v>110</v>
      </c>
      <c r="J108" s="26" t="s">
        <v>110</v>
      </c>
      <c r="K108" s="26">
        <v>50571</v>
      </c>
      <c r="L108" s="31" t="s">
        <v>2350</v>
      </c>
      <c r="M108" s="26">
        <v>6029</v>
      </c>
      <c r="N108" s="31" t="s">
        <v>440</v>
      </c>
      <c r="O108" s="26">
        <v>5527291683</v>
      </c>
      <c r="P108" s="29" t="s">
        <v>2173</v>
      </c>
      <c r="Q108" s="31" t="s">
        <v>9</v>
      </c>
      <c r="R108" s="26">
        <v>5551722172</v>
      </c>
      <c r="S108" s="31" t="s">
        <v>2213</v>
      </c>
      <c r="T108" s="26" t="s">
        <v>2254</v>
      </c>
      <c r="U108" s="31" t="s">
        <v>2253</v>
      </c>
      <c r="V108" s="31" t="s">
        <v>466</v>
      </c>
      <c r="W108" s="31" t="s">
        <v>467</v>
      </c>
      <c r="X108" s="31" t="s">
        <v>99</v>
      </c>
      <c r="Y108" s="31">
        <v>52950</v>
      </c>
      <c r="Z108" s="31" t="s">
        <v>118</v>
      </c>
      <c r="AA108" s="31" t="s">
        <v>118</v>
      </c>
      <c r="AB108" s="31" t="s">
        <v>468</v>
      </c>
      <c r="AC108" s="31">
        <v>5553703595</v>
      </c>
      <c r="AD108" s="31">
        <v>5553701518</v>
      </c>
    </row>
    <row r="109" spans="1:30" x14ac:dyDescent="0.2">
      <c r="A109" s="26">
        <v>11449</v>
      </c>
      <c r="B109" s="26">
        <f>VLOOKUP(A109,Hoja1!A:A,1,FALSE)</f>
        <v>11449</v>
      </c>
      <c r="C109" s="27" t="s">
        <v>469</v>
      </c>
      <c r="D109" s="28" t="s">
        <v>48</v>
      </c>
      <c r="E109" s="29" t="s">
        <v>8</v>
      </c>
      <c r="F109" s="29" t="s">
        <v>8</v>
      </c>
      <c r="G109" s="30">
        <v>38268</v>
      </c>
      <c r="H109" s="26" t="s">
        <v>49</v>
      </c>
      <c r="I109" s="26" t="s">
        <v>110</v>
      </c>
      <c r="J109" s="26" t="s">
        <v>110</v>
      </c>
      <c r="K109" s="26">
        <v>35926</v>
      </c>
      <c r="L109" s="31" t="s">
        <v>2351</v>
      </c>
      <c r="M109" s="26">
        <v>6029</v>
      </c>
      <c r="N109" s="31" t="s">
        <v>440</v>
      </c>
      <c r="O109" s="26">
        <v>5527291683</v>
      </c>
      <c r="P109" s="29" t="s">
        <v>2173</v>
      </c>
      <c r="Q109" s="31" t="s">
        <v>9</v>
      </c>
      <c r="R109" s="26">
        <v>5551722172</v>
      </c>
      <c r="S109" s="31" t="s">
        <v>2213</v>
      </c>
      <c r="T109" s="26" t="s">
        <v>2254</v>
      </c>
      <c r="U109" s="31" t="s">
        <v>2253</v>
      </c>
      <c r="V109" s="31" t="s">
        <v>470</v>
      </c>
      <c r="W109" s="31" t="s">
        <v>471</v>
      </c>
      <c r="X109" s="31" t="s">
        <v>447</v>
      </c>
      <c r="Y109" s="31">
        <v>54720</v>
      </c>
      <c r="Z109" s="31" t="s">
        <v>118</v>
      </c>
      <c r="AA109" s="31" t="s">
        <v>118</v>
      </c>
      <c r="AB109" s="31" t="s">
        <v>472</v>
      </c>
      <c r="AC109" s="31">
        <v>5524720015</v>
      </c>
      <c r="AD109" s="31">
        <v>5524720090</v>
      </c>
    </row>
    <row r="110" spans="1:30" x14ac:dyDescent="0.2">
      <c r="A110" s="26">
        <v>11461</v>
      </c>
      <c r="B110" s="26">
        <f>VLOOKUP(A110,Hoja1!A:A,1,FALSE)</f>
        <v>11461</v>
      </c>
      <c r="C110" s="27" t="s">
        <v>473</v>
      </c>
      <c r="D110" s="28" t="s">
        <v>48</v>
      </c>
      <c r="E110" s="29" t="s">
        <v>8</v>
      </c>
      <c r="F110" s="29" t="s">
        <v>8</v>
      </c>
      <c r="G110" s="30">
        <v>38496</v>
      </c>
      <c r="H110" s="26" t="s">
        <v>49</v>
      </c>
      <c r="I110" s="26" t="s">
        <v>110</v>
      </c>
      <c r="J110" s="26" t="s">
        <v>110</v>
      </c>
      <c r="K110" s="26">
        <v>114396</v>
      </c>
      <c r="L110" s="31" t="s">
        <v>2352</v>
      </c>
      <c r="M110" s="26">
        <v>6029</v>
      </c>
      <c r="N110" s="31" t="s">
        <v>440</v>
      </c>
      <c r="O110" s="26">
        <v>5527291683</v>
      </c>
      <c r="P110" s="29" t="s">
        <v>2173</v>
      </c>
      <c r="Q110" s="31" t="s">
        <v>9</v>
      </c>
      <c r="R110" s="26">
        <v>5551722172</v>
      </c>
      <c r="S110" s="31" t="s">
        <v>2213</v>
      </c>
      <c r="T110" s="26" t="s">
        <v>2254</v>
      </c>
      <c r="U110" s="31" t="s">
        <v>2253</v>
      </c>
      <c r="V110" s="31" t="s">
        <v>474</v>
      </c>
      <c r="W110" s="31" t="s">
        <v>473</v>
      </c>
      <c r="X110" s="31" t="s">
        <v>463</v>
      </c>
      <c r="Y110" s="31">
        <v>54474</v>
      </c>
      <c r="Z110" s="31" t="s">
        <v>118</v>
      </c>
      <c r="AA110" s="31" t="s">
        <v>118</v>
      </c>
      <c r="AB110" s="31" t="s">
        <v>475</v>
      </c>
      <c r="AC110" s="31">
        <v>5558278075</v>
      </c>
      <c r="AD110" s="31">
        <v>5558274343</v>
      </c>
    </row>
    <row r="111" spans="1:30" x14ac:dyDescent="0.2">
      <c r="A111" s="26">
        <v>11555</v>
      </c>
      <c r="B111" s="26">
        <f>VLOOKUP(A111,Hoja1!A:A,1,FALSE)</f>
        <v>11555</v>
      </c>
      <c r="C111" s="27" t="s">
        <v>476</v>
      </c>
      <c r="D111" s="28" t="s">
        <v>48</v>
      </c>
      <c r="E111" s="29" t="s">
        <v>8</v>
      </c>
      <c r="F111" s="29" t="s">
        <v>8</v>
      </c>
      <c r="G111" s="30">
        <v>41630</v>
      </c>
      <c r="H111" s="26" t="s">
        <v>49</v>
      </c>
      <c r="I111" s="26" t="s">
        <v>110</v>
      </c>
      <c r="J111" s="26" t="s">
        <v>110</v>
      </c>
      <c r="K111" s="26">
        <v>2194</v>
      </c>
      <c r="L111" s="31" t="s">
        <v>2353</v>
      </c>
      <c r="M111" s="26">
        <v>6029</v>
      </c>
      <c r="N111" s="31" t="s">
        <v>440</v>
      </c>
      <c r="O111" s="26">
        <v>5527291683</v>
      </c>
      <c r="P111" s="29" t="s">
        <v>2173</v>
      </c>
      <c r="Q111" s="31" t="s">
        <v>9</v>
      </c>
      <c r="R111" s="26">
        <v>5551722172</v>
      </c>
      <c r="S111" s="31" t="s">
        <v>2213</v>
      </c>
      <c r="T111" s="26" t="s">
        <v>2254</v>
      </c>
      <c r="U111" s="31" t="s">
        <v>2253</v>
      </c>
      <c r="V111" s="31" t="s">
        <v>477</v>
      </c>
      <c r="W111" s="31" t="s">
        <v>478</v>
      </c>
      <c r="X111" s="31" t="s">
        <v>447</v>
      </c>
      <c r="Y111" s="31">
        <v>54767</v>
      </c>
      <c r="Z111" s="31" t="s">
        <v>118</v>
      </c>
      <c r="AA111" s="31" t="s">
        <v>118</v>
      </c>
      <c r="AB111" s="31" t="s">
        <v>479</v>
      </c>
      <c r="AC111" s="31">
        <v>5558194031</v>
      </c>
      <c r="AD111" s="31">
        <v>5558772155</v>
      </c>
    </row>
    <row r="112" spans="1:30" x14ac:dyDescent="0.2">
      <c r="A112" s="26">
        <v>11778</v>
      </c>
      <c r="B112" s="26">
        <f>VLOOKUP(A112,Hoja1!A:A,1,FALSE)</f>
        <v>11778</v>
      </c>
      <c r="C112" s="27" t="s">
        <v>480</v>
      </c>
      <c r="D112" s="28" t="s">
        <v>48</v>
      </c>
      <c r="E112" s="29" t="s">
        <v>8</v>
      </c>
      <c r="F112" s="29" t="s">
        <v>8</v>
      </c>
      <c r="G112" s="30">
        <v>36143</v>
      </c>
      <c r="H112" s="26" t="s">
        <v>49</v>
      </c>
      <c r="I112" s="26" t="s">
        <v>50</v>
      </c>
      <c r="J112" s="26" t="s">
        <v>153</v>
      </c>
      <c r="K112" s="26">
        <v>50646</v>
      </c>
      <c r="L112" s="31" t="s">
        <v>2354</v>
      </c>
      <c r="M112" s="26">
        <v>6029</v>
      </c>
      <c r="N112" s="31" t="s">
        <v>440</v>
      </c>
      <c r="O112" s="26">
        <v>5527291683</v>
      </c>
      <c r="P112" s="29" t="s">
        <v>2173</v>
      </c>
      <c r="Q112" s="31" t="s">
        <v>9</v>
      </c>
      <c r="R112" s="26">
        <v>5551722172</v>
      </c>
      <c r="S112" s="31" t="s">
        <v>2213</v>
      </c>
      <c r="T112" s="26" t="s">
        <v>2254</v>
      </c>
      <c r="U112" s="31" t="s">
        <v>2253</v>
      </c>
      <c r="V112" s="31" t="s">
        <v>481</v>
      </c>
      <c r="W112" s="31" t="s">
        <v>482</v>
      </c>
      <c r="X112" s="31" t="s">
        <v>99</v>
      </c>
      <c r="Y112" s="31">
        <v>52480</v>
      </c>
      <c r="Z112" s="31" t="s">
        <v>118</v>
      </c>
      <c r="AA112" s="31" t="s">
        <v>118</v>
      </c>
      <c r="AB112" s="31" t="s">
        <v>483</v>
      </c>
      <c r="AC112" s="31">
        <v>5553669616</v>
      </c>
      <c r="AD112" s="31">
        <v>5553669616</v>
      </c>
    </row>
    <row r="113" spans="1:30" x14ac:dyDescent="0.2">
      <c r="A113" s="26">
        <v>12344</v>
      </c>
      <c r="B113" s="26">
        <f>VLOOKUP(A113,Hoja1!A:A,1,FALSE)</f>
        <v>12344</v>
      </c>
      <c r="C113" s="27" t="s">
        <v>484</v>
      </c>
      <c r="D113" s="28" t="s">
        <v>48</v>
      </c>
      <c r="E113" s="29" t="s">
        <v>8</v>
      </c>
      <c r="F113" s="29" t="s">
        <v>8</v>
      </c>
      <c r="G113" s="30">
        <v>43448</v>
      </c>
      <c r="H113" s="26" t="s">
        <v>49</v>
      </c>
      <c r="I113" s="26" t="s">
        <v>110</v>
      </c>
      <c r="J113" s="26" t="s">
        <v>110</v>
      </c>
      <c r="K113" s="26">
        <v>69844</v>
      </c>
      <c r="L113" s="31" t="s">
        <v>2355</v>
      </c>
      <c r="M113" s="26">
        <v>6029</v>
      </c>
      <c r="N113" s="31" t="s">
        <v>440</v>
      </c>
      <c r="O113" s="26">
        <v>5527291683</v>
      </c>
      <c r="P113" s="29" t="s">
        <v>2173</v>
      </c>
      <c r="Q113" s="31" t="s">
        <v>9</v>
      </c>
      <c r="R113" s="26">
        <v>5551722172</v>
      </c>
      <c r="S113" s="31" t="s">
        <v>2213</v>
      </c>
      <c r="T113" s="26" t="s">
        <v>2254</v>
      </c>
      <c r="U113" s="31" t="s">
        <v>2253</v>
      </c>
      <c r="V113" s="31" t="s">
        <v>485</v>
      </c>
      <c r="W113" s="31" t="s">
        <v>486</v>
      </c>
      <c r="X113" s="31" t="s">
        <v>447</v>
      </c>
      <c r="Y113" s="31">
        <v>54715</v>
      </c>
      <c r="Z113" s="31" t="s">
        <v>118</v>
      </c>
      <c r="AA113" s="31" t="s">
        <v>118</v>
      </c>
      <c r="AB113" s="31" t="s">
        <v>487</v>
      </c>
      <c r="AC113" s="31">
        <v>5591546699</v>
      </c>
      <c r="AD113" s="31">
        <v>5544380070</v>
      </c>
    </row>
    <row r="114" spans="1:30" x14ac:dyDescent="0.2">
      <c r="A114" s="26">
        <v>11005</v>
      </c>
      <c r="B114" s="26">
        <f>VLOOKUP(A114,Hoja1!A:A,1,FALSE)</f>
        <v>11005</v>
      </c>
      <c r="C114" s="27" t="s">
        <v>1969</v>
      </c>
      <c r="D114" s="32" t="s">
        <v>488</v>
      </c>
      <c r="E114" s="29" t="s">
        <v>10</v>
      </c>
      <c r="F114" s="29" t="s">
        <v>10</v>
      </c>
      <c r="G114" s="30">
        <v>33189</v>
      </c>
      <c r="H114" s="26" t="s">
        <v>49</v>
      </c>
      <c r="I114" s="26" t="s">
        <v>110</v>
      </c>
      <c r="J114" s="26" t="s">
        <v>110</v>
      </c>
      <c r="K114" s="26">
        <v>6998</v>
      </c>
      <c r="L114" s="31" t="s">
        <v>2356</v>
      </c>
      <c r="M114" s="26">
        <v>3953</v>
      </c>
      <c r="N114" s="31" t="s">
        <v>489</v>
      </c>
      <c r="O114" s="26">
        <v>7771857020</v>
      </c>
      <c r="P114" s="29" t="s">
        <v>2174</v>
      </c>
      <c r="Q114" s="31" t="s">
        <v>11</v>
      </c>
      <c r="R114" s="26" t="s">
        <v>2211</v>
      </c>
      <c r="S114" s="31" t="s">
        <v>2214</v>
      </c>
      <c r="T114" s="26" t="s">
        <v>19</v>
      </c>
      <c r="U114" s="31" t="s">
        <v>2253</v>
      </c>
      <c r="V114" s="31" t="s">
        <v>490</v>
      </c>
      <c r="W114" s="31" t="s">
        <v>491</v>
      </c>
      <c r="X114" s="31" t="s">
        <v>99</v>
      </c>
      <c r="Y114" s="31">
        <v>62290</v>
      </c>
      <c r="Z114" s="31" t="s">
        <v>492</v>
      </c>
      <c r="AA114" s="31" t="s">
        <v>493</v>
      </c>
      <c r="AB114" s="31" t="s">
        <v>494</v>
      </c>
      <c r="AC114" s="31">
        <v>7773159815</v>
      </c>
      <c r="AD114" s="31">
        <v>7773158244</v>
      </c>
    </row>
    <row r="115" spans="1:30" x14ac:dyDescent="0.2">
      <c r="A115" s="26">
        <v>11044</v>
      </c>
      <c r="B115" s="26">
        <f>VLOOKUP(A115,Hoja1!A:A,1,FALSE)</f>
        <v>11044</v>
      </c>
      <c r="C115" s="27" t="s">
        <v>1970</v>
      </c>
      <c r="D115" s="32" t="s">
        <v>488</v>
      </c>
      <c r="E115" s="29" t="s">
        <v>10</v>
      </c>
      <c r="F115" s="29" t="s">
        <v>10</v>
      </c>
      <c r="G115" s="30">
        <v>33588</v>
      </c>
      <c r="H115" s="26" t="s">
        <v>49</v>
      </c>
      <c r="I115" s="26" t="s">
        <v>110</v>
      </c>
      <c r="J115" s="26" t="s">
        <v>110</v>
      </c>
      <c r="K115" s="26">
        <v>13136</v>
      </c>
      <c r="L115" s="31" t="s">
        <v>2357</v>
      </c>
      <c r="M115" s="26">
        <v>3953</v>
      </c>
      <c r="N115" s="31" t="s">
        <v>489</v>
      </c>
      <c r="O115" s="26">
        <v>7771857020</v>
      </c>
      <c r="P115" s="29" t="s">
        <v>2174</v>
      </c>
      <c r="Q115" s="31" t="s">
        <v>11</v>
      </c>
      <c r="R115" s="26" t="s">
        <v>2211</v>
      </c>
      <c r="S115" s="31" t="s">
        <v>2214</v>
      </c>
      <c r="T115" s="26" t="s">
        <v>19</v>
      </c>
      <c r="U115" s="31" t="s">
        <v>2253</v>
      </c>
      <c r="V115" s="31" t="s">
        <v>495</v>
      </c>
      <c r="W115" s="31" t="s">
        <v>496</v>
      </c>
      <c r="X115" s="31" t="s">
        <v>99</v>
      </c>
      <c r="Y115" s="31">
        <v>62448</v>
      </c>
      <c r="Z115" s="31" t="s">
        <v>492</v>
      </c>
      <c r="AA115" s="31" t="s">
        <v>493</v>
      </c>
      <c r="AB115" s="31" t="s">
        <v>497</v>
      </c>
      <c r="AC115" s="31">
        <v>7773128168</v>
      </c>
      <c r="AD115" s="31">
        <v>7773187729</v>
      </c>
    </row>
    <row r="116" spans="1:30" x14ac:dyDescent="0.2">
      <c r="A116" s="26">
        <v>11086</v>
      </c>
      <c r="B116" s="26">
        <f>VLOOKUP(A116,Hoja1!A:A,1,FALSE)</f>
        <v>11086</v>
      </c>
      <c r="C116" s="27" t="s">
        <v>499</v>
      </c>
      <c r="D116" s="32" t="s">
        <v>488</v>
      </c>
      <c r="E116" s="29" t="s">
        <v>10</v>
      </c>
      <c r="F116" s="29" t="s">
        <v>10</v>
      </c>
      <c r="G116" s="30">
        <v>33962</v>
      </c>
      <c r="H116" s="26" t="s">
        <v>49</v>
      </c>
      <c r="I116" s="26" t="s">
        <v>110</v>
      </c>
      <c r="J116" s="26" t="s">
        <v>110</v>
      </c>
      <c r="K116" s="26">
        <v>3072</v>
      </c>
      <c r="L116" s="31" t="s">
        <v>2358</v>
      </c>
      <c r="M116" s="26">
        <v>3953</v>
      </c>
      <c r="N116" s="31" t="s">
        <v>489</v>
      </c>
      <c r="O116" s="26">
        <v>7771857020</v>
      </c>
      <c r="P116" s="29" t="s">
        <v>2174</v>
      </c>
      <c r="Q116" s="31" t="s">
        <v>11</v>
      </c>
      <c r="R116" s="26" t="s">
        <v>2211</v>
      </c>
      <c r="S116" s="31" t="s">
        <v>2214</v>
      </c>
      <c r="T116" s="26" t="s">
        <v>19</v>
      </c>
      <c r="U116" s="31" t="s">
        <v>2253</v>
      </c>
      <c r="V116" s="31" t="s">
        <v>498</v>
      </c>
      <c r="W116" s="31" t="s">
        <v>499</v>
      </c>
      <c r="X116" s="31" t="s">
        <v>99</v>
      </c>
      <c r="Y116" s="31">
        <v>62170</v>
      </c>
      <c r="Z116" s="31" t="s">
        <v>492</v>
      </c>
      <c r="AA116" s="31" t="s">
        <v>493</v>
      </c>
      <c r="AB116" s="31" t="s">
        <v>500</v>
      </c>
      <c r="AC116" s="31">
        <v>7773117689</v>
      </c>
      <c r="AD116" s="31">
        <v>7773115062</v>
      </c>
    </row>
    <row r="117" spans="1:30" x14ac:dyDescent="0.2">
      <c r="A117" s="26">
        <v>11149</v>
      </c>
      <c r="B117" s="26">
        <f>VLOOKUP(A117,Hoja1!A:A,1,FALSE)</f>
        <v>11149</v>
      </c>
      <c r="C117" s="27" t="s">
        <v>1971</v>
      </c>
      <c r="D117" s="32" t="s">
        <v>488</v>
      </c>
      <c r="E117" s="29" t="s">
        <v>10</v>
      </c>
      <c r="F117" s="29" t="s">
        <v>10</v>
      </c>
      <c r="G117" s="30">
        <v>35605</v>
      </c>
      <c r="H117" s="26" t="s">
        <v>49</v>
      </c>
      <c r="I117" s="26" t="s">
        <v>110</v>
      </c>
      <c r="J117" s="26" t="s">
        <v>110</v>
      </c>
      <c r="K117" s="26">
        <v>34065</v>
      </c>
      <c r="L117" s="31" t="s">
        <v>2359</v>
      </c>
      <c r="M117" s="26">
        <v>3953</v>
      </c>
      <c r="N117" s="31" t="s">
        <v>489</v>
      </c>
      <c r="O117" s="26">
        <v>7771857020</v>
      </c>
      <c r="P117" s="29" t="s">
        <v>2174</v>
      </c>
      <c r="Q117" s="31" t="s">
        <v>11</v>
      </c>
      <c r="R117" s="26" t="s">
        <v>2211</v>
      </c>
      <c r="S117" s="31" t="s">
        <v>2214</v>
      </c>
      <c r="T117" s="26" t="s">
        <v>19</v>
      </c>
      <c r="U117" s="31" t="s">
        <v>2253</v>
      </c>
      <c r="V117" s="31" t="s">
        <v>501</v>
      </c>
      <c r="W117" s="31" t="s">
        <v>502</v>
      </c>
      <c r="X117" s="31" t="s">
        <v>99</v>
      </c>
      <c r="Y117" s="31">
        <v>62570</v>
      </c>
      <c r="Z117" s="31" t="s">
        <v>492</v>
      </c>
      <c r="AA117" s="31" t="s">
        <v>493</v>
      </c>
      <c r="AB117" s="31" t="s">
        <v>503</v>
      </c>
      <c r="AC117" s="31">
        <v>7773203087</v>
      </c>
      <c r="AD117" s="31">
        <v>7773202009</v>
      </c>
    </row>
    <row r="118" spans="1:30" x14ac:dyDescent="0.2">
      <c r="A118" s="26">
        <v>11161</v>
      </c>
      <c r="B118" s="26">
        <f>VLOOKUP(A118,Hoja1!A:A,1,FALSE)</f>
        <v>11161</v>
      </c>
      <c r="C118" s="27" t="s">
        <v>506</v>
      </c>
      <c r="D118" s="32" t="s">
        <v>488</v>
      </c>
      <c r="E118" s="29" t="s">
        <v>10</v>
      </c>
      <c r="F118" s="29" t="s">
        <v>10</v>
      </c>
      <c r="G118" s="30">
        <v>35772</v>
      </c>
      <c r="H118" s="26" t="s">
        <v>49</v>
      </c>
      <c r="I118" s="26" t="s">
        <v>110</v>
      </c>
      <c r="J118" s="26" t="s">
        <v>110</v>
      </c>
      <c r="K118" s="26">
        <v>17941</v>
      </c>
      <c r="L118" s="31" t="s">
        <v>2360</v>
      </c>
      <c r="M118" s="26">
        <v>3953</v>
      </c>
      <c r="N118" s="31" t="s">
        <v>489</v>
      </c>
      <c r="O118" s="26">
        <v>7771857020</v>
      </c>
      <c r="P118" s="29" t="s">
        <v>2174</v>
      </c>
      <c r="Q118" s="31" t="s">
        <v>11</v>
      </c>
      <c r="R118" s="26" t="s">
        <v>2211</v>
      </c>
      <c r="S118" s="31" t="s">
        <v>2214</v>
      </c>
      <c r="T118" s="26" t="s">
        <v>19</v>
      </c>
      <c r="U118" s="31" t="s">
        <v>2253</v>
      </c>
      <c r="V118" s="31" t="s">
        <v>504</v>
      </c>
      <c r="W118" s="31" t="s">
        <v>505</v>
      </c>
      <c r="X118" s="31" t="s">
        <v>99</v>
      </c>
      <c r="Y118" s="31">
        <v>62740</v>
      </c>
      <c r="Z118" s="31" t="s">
        <v>506</v>
      </c>
      <c r="AA118" s="31" t="s">
        <v>493</v>
      </c>
      <c r="AB118" s="31" t="s">
        <v>507</v>
      </c>
      <c r="AC118" s="31">
        <v>7353538624</v>
      </c>
      <c r="AD118" s="31">
        <v>7353538621</v>
      </c>
    </row>
    <row r="119" spans="1:30" x14ac:dyDescent="0.2">
      <c r="A119" s="26">
        <v>11272</v>
      </c>
      <c r="B119" s="26">
        <f>VLOOKUP(A119,Hoja1!A:A,1,FALSE)</f>
        <v>11272</v>
      </c>
      <c r="C119" s="27" t="s">
        <v>1972</v>
      </c>
      <c r="D119" s="32" t="s">
        <v>488</v>
      </c>
      <c r="E119" s="29" t="s">
        <v>10</v>
      </c>
      <c r="F119" s="29" t="s">
        <v>10</v>
      </c>
      <c r="G119" s="30">
        <v>36745</v>
      </c>
      <c r="H119" s="26" t="s">
        <v>49</v>
      </c>
      <c r="I119" s="26" t="s">
        <v>110</v>
      </c>
      <c r="J119" s="26" t="s">
        <v>110</v>
      </c>
      <c r="K119" s="26">
        <v>7178</v>
      </c>
      <c r="L119" s="31" t="s">
        <v>2361</v>
      </c>
      <c r="M119" s="26">
        <v>3953</v>
      </c>
      <c r="N119" s="31" t="s">
        <v>489</v>
      </c>
      <c r="O119" s="26">
        <v>7771857020</v>
      </c>
      <c r="P119" s="29" t="s">
        <v>2174</v>
      </c>
      <c r="Q119" s="31" t="s">
        <v>11</v>
      </c>
      <c r="R119" s="26" t="s">
        <v>2211</v>
      </c>
      <c r="S119" s="31" t="s">
        <v>2214</v>
      </c>
      <c r="T119" s="26" t="s">
        <v>19</v>
      </c>
      <c r="U119" s="31" t="s">
        <v>2253</v>
      </c>
      <c r="V119" s="31" t="s">
        <v>508</v>
      </c>
      <c r="W119" s="31" t="s">
        <v>509</v>
      </c>
      <c r="X119" s="31" t="s">
        <v>99</v>
      </c>
      <c r="Y119" s="31">
        <v>62370</v>
      </c>
      <c r="Z119" s="31" t="s">
        <v>492</v>
      </c>
      <c r="AA119" s="31" t="s">
        <v>493</v>
      </c>
      <c r="AB119" s="31" t="s">
        <v>510</v>
      </c>
      <c r="AC119" s="31">
        <v>7773165611</v>
      </c>
      <c r="AD119" s="31">
        <v>7773222211</v>
      </c>
    </row>
    <row r="120" spans="1:30" x14ac:dyDescent="0.2">
      <c r="A120" s="26">
        <v>11286</v>
      </c>
      <c r="B120" s="26">
        <f>VLOOKUP(A120,Hoja1!A:A,1,FALSE)</f>
        <v>11286</v>
      </c>
      <c r="C120" s="27" t="s">
        <v>513</v>
      </c>
      <c r="D120" s="32" t="s">
        <v>488</v>
      </c>
      <c r="E120" s="29" t="s">
        <v>10</v>
      </c>
      <c r="F120" s="29" t="s">
        <v>10</v>
      </c>
      <c r="G120" s="30">
        <v>36511</v>
      </c>
      <c r="H120" s="26" t="s">
        <v>49</v>
      </c>
      <c r="I120" s="26" t="s">
        <v>110</v>
      </c>
      <c r="J120" s="26" t="s">
        <v>110</v>
      </c>
      <c r="K120" s="26">
        <v>8365</v>
      </c>
      <c r="L120" s="31" t="s">
        <v>2362</v>
      </c>
      <c r="M120" s="26">
        <v>3953</v>
      </c>
      <c r="N120" s="31" t="s">
        <v>489</v>
      </c>
      <c r="O120" s="26">
        <v>7771857020</v>
      </c>
      <c r="P120" s="29" t="s">
        <v>2174</v>
      </c>
      <c r="Q120" s="31" t="s">
        <v>11</v>
      </c>
      <c r="R120" s="26" t="s">
        <v>2211</v>
      </c>
      <c r="S120" s="31" t="s">
        <v>2214</v>
      </c>
      <c r="T120" s="26" t="s">
        <v>19</v>
      </c>
      <c r="U120" s="31" t="s">
        <v>2253</v>
      </c>
      <c r="V120" s="31" t="s">
        <v>511</v>
      </c>
      <c r="W120" s="31" t="s">
        <v>512</v>
      </c>
      <c r="X120" s="31" t="s">
        <v>99</v>
      </c>
      <c r="Y120" s="31">
        <v>68580</v>
      </c>
      <c r="Z120" s="31" t="s">
        <v>513</v>
      </c>
      <c r="AA120" s="31" t="s">
        <v>493</v>
      </c>
      <c r="AB120" s="31" t="s">
        <v>514</v>
      </c>
      <c r="AC120" s="31">
        <v>7773254418</v>
      </c>
      <c r="AD120" s="31">
        <v>7773254727</v>
      </c>
    </row>
    <row r="121" spans="1:30" x14ac:dyDescent="0.2">
      <c r="A121" s="26">
        <v>11506</v>
      </c>
      <c r="B121" s="26">
        <f>VLOOKUP(A121,Hoja1!A:A,1,FALSE)</f>
        <v>11506</v>
      </c>
      <c r="C121" s="27" t="s">
        <v>1973</v>
      </c>
      <c r="D121" s="32" t="s">
        <v>488</v>
      </c>
      <c r="E121" s="29" t="s">
        <v>10</v>
      </c>
      <c r="F121" s="29" t="s">
        <v>10</v>
      </c>
      <c r="G121" s="30">
        <v>39328</v>
      </c>
      <c r="H121" s="26" t="s">
        <v>49</v>
      </c>
      <c r="I121" s="26" t="s">
        <v>110</v>
      </c>
      <c r="J121" s="26" t="s">
        <v>110</v>
      </c>
      <c r="K121" s="26">
        <v>35910</v>
      </c>
      <c r="L121" s="31" t="s">
        <v>2363</v>
      </c>
      <c r="M121" s="26">
        <v>3953</v>
      </c>
      <c r="N121" s="31" t="s">
        <v>489</v>
      </c>
      <c r="O121" s="26">
        <v>7771857020</v>
      </c>
      <c r="P121" s="29" t="s">
        <v>2174</v>
      </c>
      <c r="Q121" s="31" t="s">
        <v>11</v>
      </c>
      <c r="R121" s="26" t="s">
        <v>2211</v>
      </c>
      <c r="S121" s="31" t="s">
        <v>2214</v>
      </c>
      <c r="T121" s="26" t="s">
        <v>19</v>
      </c>
      <c r="U121" s="31" t="s">
        <v>2253</v>
      </c>
      <c r="V121" s="31" t="s">
        <v>515</v>
      </c>
      <c r="W121" s="31" t="s">
        <v>89</v>
      </c>
      <c r="X121" s="31" t="s">
        <v>99</v>
      </c>
      <c r="Y121" s="31">
        <v>62000</v>
      </c>
      <c r="Z121" s="31" t="s">
        <v>492</v>
      </c>
      <c r="AA121" s="31" t="s">
        <v>493</v>
      </c>
      <c r="AB121" s="31" t="s">
        <v>516</v>
      </c>
      <c r="AC121" s="31">
        <v>7773185582</v>
      </c>
      <c r="AD121" s="31">
        <v>7773185577</v>
      </c>
    </row>
    <row r="122" spans="1:30" x14ac:dyDescent="0.2">
      <c r="A122" s="26">
        <v>11579</v>
      </c>
      <c r="B122" s="26">
        <f>VLOOKUP(A122,Hoja1!A:A,1,FALSE)</f>
        <v>11579</v>
      </c>
      <c r="C122" s="27" t="s">
        <v>1974</v>
      </c>
      <c r="D122" s="32" t="s">
        <v>488</v>
      </c>
      <c r="E122" s="29" t="s">
        <v>10</v>
      </c>
      <c r="F122" s="29" t="s">
        <v>10</v>
      </c>
      <c r="G122" s="30">
        <v>42317</v>
      </c>
      <c r="H122" s="26" t="s">
        <v>49</v>
      </c>
      <c r="I122" s="26" t="s">
        <v>110</v>
      </c>
      <c r="J122" s="26" t="s">
        <v>110</v>
      </c>
      <c r="K122" s="26">
        <v>5348</v>
      </c>
      <c r="L122" s="31" t="s">
        <v>2364</v>
      </c>
      <c r="M122" s="26">
        <v>3953</v>
      </c>
      <c r="N122" s="31" t="s">
        <v>489</v>
      </c>
      <c r="O122" s="26">
        <v>7771857020</v>
      </c>
      <c r="P122" s="29" t="s">
        <v>2174</v>
      </c>
      <c r="Q122" s="31" t="s">
        <v>11</v>
      </c>
      <c r="R122" s="26" t="s">
        <v>2211</v>
      </c>
      <c r="S122" s="31" t="s">
        <v>2214</v>
      </c>
      <c r="T122" s="26" t="s">
        <v>19</v>
      </c>
      <c r="U122" s="31" t="s">
        <v>2253</v>
      </c>
      <c r="V122" s="31" t="s">
        <v>517</v>
      </c>
      <c r="W122" s="31" t="s">
        <v>518</v>
      </c>
      <c r="X122" s="31" t="s">
        <v>99</v>
      </c>
      <c r="Y122" s="31">
        <v>62748</v>
      </c>
      <c r="Z122" s="31" t="s">
        <v>506</v>
      </c>
      <c r="AA122" s="31" t="s">
        <v>493</v>
      </c>
      <c r="AB122" s="31" t="s">
        <v>519</v>
      </c>
      <c r="AC122" s="31">
        <v>7353539300</v>
      </c>
      <c r="AD122" s="31">
        <v>7353539300</v>
      </c>
    </row>
    <row r="123" spans="1:30" x14ac:dyDescent="0.2">
      <c r="A123" s="26">
        <v>11784</v>
      </c>
      <c r="B123" s="26">
        <f>VLOOKUP(A123,Hoja1!A:A,1,FALSE)</f>
        <v>11784</v>
      </c>
      <c r="C123" s="27" t="s">
        <v>1975</v>
      </c>
      <c r="D123" s="32" t="s">
        <v>488</v>
      </c>
      <c r="E123" s="29" t="s">
        <v>10</v>
      </c>
      <c r="F123" s="29" t="s">
        <v>10</v>
      </c>
      <c r="G123" s="30">
        <v>38705</v>
      </c>
      <c r="H123" s="26" t="s">
        <v>49</v>
      </c>
      <c r="I123" s="26" t="s">
        <v>50</v>
      </c>
      <c r="J123" s="26" t="s">
        <v>153</v>
      </c>
      <c r="K123" s="26">
        <v>7569</v>
      </c>
      <c r="L123" s="31" t="s">
        <v>2365</v>
      </c>
      <c r="M123" s="26">
        <v>3953</v>
      </c>
      <c r="N123" s="31" t="s">
        <v>489</v>
      </c>
      <c r="O123" s="26">
        <v>7771857020</v>
      </c>
      <c r="P123" s="29" t="s">
        <v>2174</v>
      </c>
      <c r="Q123" s="31" t="s">
        <v>11</v>
      </c>
      <c r="R123" s="26" t="s">
        <v>2211</v>
      </c>
      <c r="S123" s="31" t="s">
        <v>2214</v>
      </c>
      <c r="T123" s="26" t="s">
        <v>19</v>
      </c>
      <c r="U123" s="31" t="s">
        <v>2253</v>
      </c>
      <c r="V123" s="31" t="s">
        <v>520</v>
      </c>
      <c r="W123" s="31" t="s">
        <v>521</v>
      </c>
      <c r="X123" s="31" t="s">
        <v>99</v>
      </c>
      <c r="Y123" s="31">
        <v>62389</v>
      </c>
      <c r="Z123" s="31" t="s">
        <v>492</v>
      </c>
      <c r="AA123" s="31" t="s">
        <v>493</v>
      </c>
      <c r="AB123" s="31" t="s">
        <v>522</v>
      </c>
      <c r="AC123" s="31">
        <v>7773226492</v>
      </c>
      <c r="AD123" s="31">
        <v>7773226345</v>
      </c>
    </row>
    <row r="124" spans="1:30" x14ac:dyDescent="0.2">
      <c r="A124" s="26">
        <v>12318</v>
      </c>
      <c r="B124" s="26">
        <f>VLOOKUP(A124,Hoja1!A:A,1,FALSE)</f>
        <v>12318</v>
      </c>
      <c r="C124" s="27" t="s">
        <v>1976</v>
      </c>
      <c r="D124" s="32" t="s">
        <v>488</v>
      </c>
      <c r="E124" s="29" t="s">
        <v>10</v>
      </c>
      <c r="F124" s="29" t="s">
        <v>10</v>
      </c>
      <c r="G124" s="30">
        <v>43334</v>
      </c>
      <c r="H124" s="26" t="s">
        <v>49</v>
      </c>
      <c r="I124" s="26" t="s">
        <v>110</v>
      </c>
      <c r="J124" s="26" t="s">
        <v>110</v>
      </c>
      <c r="K124" s="26">
        <v>8378</v>
      </c>
      <c r="L124" s="31" t="s">
        <v>2366</v>
      </c>
      <c r="M124" s="26">
        <v>3953</v>
      </c>
      <c r="N124" s="31" t="s">
        <v>489</v>
      </c>
      <c r="O124" s="26">
        <v>7771857020</v>
      </c>
      <c r="P124" s="29" t="s">
        <v>2174</v>
      </c>
      <c r="Q124" s="31" t="s">
        <v>11</v>
      </c>
      <c r="R124" s="26" t="s">
        <v>2211</v>
      </c>
      <c r="S124" s="31" t="s">
        <v>2214</v>
      </c>
      <c r="T124" s="26" t="s">
        <v>19</v>
      </c>
      <c r="U124" s="31" t="s">
        <v>2253</v>
      </c>
      <c r="V124" s="31" t="s">
        <v>523</v>
      </c>
      <c r="W124" s="31" t="s">
        <v>524</v>
      </c>
      <c r="X124" s="31" t="s">
        <v>492</v>
      </c>
      <c r="Y124" s="31">
        <v>62490</v>
      </c>
      <c r="Z124" s="31" t="s">
        <v>492</v>
      </c>
      <c r="AA124" s="31" t="s">
        <v>493</v>
      </c>
      <c r="AB124" s="31" t="s">
        <v>525</v>
      </c>
      <c r="AC124" s="31">
        <v>7771760818</v>
      </c>
      <c r="AD124" s="31">
        <v>7771760818</v>
      </c>
    </row>
    <row r="125" spans="1:30" x14ac:dyDescent="0.2">
      <c r="A125" s="26">
        <v>12354</v>
      </c>
      <c r="B125" s="26">
        <f>VLOOKUP(A125,Hoja1!A:A,1,FALSE)</f>
        <v>12354</v>
      </c>
      <c r="C125" s="27" t="s">
        <v>1977</v>
      </c>
      <c r="D125" s="32" t="s">
        <v>488</v>
      </c>
      <c r="E125" s="29" t="s">
        <v>10</v>
      </c>
      <c r="F125" s="29" t="s">
        <v>10</v>
      </c>
      <c r="G125" s="30">
        <v>43554</v>
      </c>
      <c r="H125" s="26" t="s">
        <v>49</v>
      </c>
      <c r="I125" s="26" t="s">
        <v>110</v>
      </c>
      <c r="J125" s="26" t="s">
        <v>110</v>
      </c>
      <c r="K125" s="26">
        <v>8661</v>
      </c>
      <c r="L125" s="31" t="s">
        <v>2367</v>
      </c>
      <c r="M125" s="26">
        <v>3953</v>
      </c>
      <c r="N125" s="31" t="s">
        <v>489</v>
      </c>
      <c r="O125" s="26">
        <v>7771857020</v>
      </c>
      <c r="P125" s="29" t="s">
        <v>2174</v>
      </c>
      <c r="Q125" s="31" t="s">
        <v>11</v>
      </c>
      <c r="R125" s="26" t="s">
        <v>2211</v>
      </c>
      <c r="S125" s="31" t="s">
        <v>2214</v>
      </c>
      <c r="T125" s="26" t="s">
        <v>19</v>
      </c>
      <c r="U125" s="31" t="s">
        <v>2253</v>
      </c>
      <c r="V125" s="31" t="s">
        <v>526</v>
      </c>
      <c r="W125" s="31" t="s">
        <v>527</v>
      </c>
      <c r="X125" s="31" t="s">
        <v>99</v>
      </c>
      <c r="Y125" s="31">
        <v>62100</v>
      </c>
      <c r="Z125" s="31" t="s">
        <v>492</v>
      </c>
      <c r="AA125" s="31" t="s">
        <v>493</v>
      </c>
      <c r="AB125" s="31" t="s">
        <v>528</v>
      </c>
      <c r="AC125" s="31">
        <v>7771760810</v>
      </c>
      <c r="AD125" s="31">
        <v>7771760810</v>
      </c>
    </row>
    <row r="126" spans="1:30" x14ac:dyDescent="0.2">
      <c r="A126" s="26">
        <v>11009</v>
      </c>
      <c r="B126" s="26">
        <f>VLOOKUP(A126,Hoja1!A:A,1,FALSE)</f>
        <v>11009</v>
      </c>
      <c r="C126" s="27" t="s">
        <v>2008</v>
      </c>
      <c r="D126" s="32" t="s">
        <v>488</v>
      </c>
      <c r="E126" s="29" t="s">
        <v>10</v>
      </c>
      <c r="F126" s="29" t="s">
        <v>10</v>
      </c>
      <c r="G126" s="30">
        <v>33219</v>
      </c>
      <c r="H126" s="26" t="s">
        <v>49</v>
      </c>
      <c r="I126" s="26" t="s">
        <v>110</v>
      </c>
      <c r="J126" s="26" t="s">
        <v>110</v>
      </c>
      <c r="K126" s="26">
        <v>17905</v>
      </c>
      <c r="L126" s="31" t="s">
        <v>2405</v>
      </c>
      <c r="M126" s="26">
        <v>4247</v>
      </c>
      <c r="N126" s="31" t="s">
        <v>529</v>
      </c>
      <c r="O126" s="26">
        <v>5545559358</v>
      </c>
      <c r="P126" s="29" t="s">
        <v>2179</v>
      </c>
      <c r="Q126" s="31" t="s">
        <v>11</v>
      </c>
      <c r="R126" s="26" t="s">
        <v>2211</v>
      </c>
      <c r="S126" s="31" t="s">
        <v>2214</v>
      </c>
      <c r="T126" s="26" t="s">
        <v>19</v>
      </c>
      <c r="U126" s="31" t="s">
        <v>2253</v>
      </c>
      <c r="V126" s="31" t="s">
        <v>647</v>
      </c>
      <c r="W126" s="31" t="s">
        <v>648</v>
      </c>
      <c r="X126" s="31" t="s">
        <v>564</v>
      </c>
      <c r="Y126" s="31">
        <v>4970</v>
      </c>
      <c r="Z126" s="31" t="s">
        <v>57</v>
      </c>
      <c r="AA126" s="31" t="s">
        <v>57</v>
      </c>
      <c r="AB126" s="31" t="s">
        <v>649</v>
      </c>
      <c r="AC126" s="31">
        <v>5556734842</v>
      </c>
      <c r="AD126" s="31">
        <v>5556738999</v>
      </c>
    </row>
    <row r="127" spans="1:30" x14ac:dyDescent="0.2">
      <c r="A127" s="26">
        <v>11056</v>
      </c>
      <c r="B127" s="26">
        <f>VLOOKUP(A127,Hoja1!A:A,1,FALSE)</f>
        <v>11056</v>
      </c>
      <c r="C127" s="27" t="s">
        <v>2009</v>
      </c>
      <c r="D127" s="32" t="s">
        <v>488</v>
      </c>
      <c r="E127" s="29" t="s">
        <v>10</v>
      </c>
      <c r="F127" s="29" t="s">
        <v>10</v>
      </c>
      <c r="G127" s="30">
        <v>33700</v>
      </c>
      <c r="H127" s="26" t="s">
        <v>49</v>
      </c>
      <c r="I127" s="26" t="s">
        <v>110</v>
      </c>
      <c r="J127" s="26" t="s">
        <v>110</v>
      </c>
      <c r="K127" s="26">
        <v>132124</v>
      </c>
      <c r="L127" s="31" t="s">
        <v>2406</v>
      </c>
      <c r="M127" s="26">
        <v>4247</v>
      </c>
      <c r="N127" s="31" t="s">
        <v>529</v>
      </c>
      <c r="O127" s="26">
        <v>5545559358</v>
      </c>
      <c r="P127" s="29" t="s">
        <v>2179</v>
      </c>
      <c r="Q127" s="31" t="s">
        <v>11</v>
      </c>
      <c r="R127" s="26" t="s">
        <v>2211</v>
      </c>
      <c r="S127" s="31" t="s">
        <v>2214</v>
      </c>
      <c r="T127" s="26" t="s">
        <v>19</v>
      </c>
      <c r="U127" s="31" t="s">
        <v>2253</v>
      </c>
      <c r="V127" s="31" t="s">
        <v>650</v>
      </c>
      <c r="W127" s="31" t="s">
        <v>651</v>
      </c>
      <c r="X127" s="31" t="s">
        <v>60</v>
      </c>
      <c r="Y127" s="31">
        <v>4030</v>
      </c>
      <c r="Z127" s="31" t="s">
        <v>57</v>
      </c>
      <c r="AA127" s="31" t="s">
        <v>57</v>
      </c>
      <c r="AB127" s="31" t="s">
        <v>652</v>
      </c>
      <c r="AC127" s="31">
        <v>5555440239</v>
      </c>
      <c r="AD127" s="31">
        <v>5556898840</v>
      </c>
    </row>
    <row r="128" spans="1:30" x14ac:dyDescent="0.2">
      <c r="A128" s="26">
        <v>11100</v>
      </c>
      <c r="B128" s="26">
        <f>VLOOKUP(A128,Hoja1!A:A,1,FALSE)</f>
        <v>11100</v>
      </c>
      <c r="C128" s="27" t="s">
        <v>2010</v>
      </c>
      <c r="D128" s="32" t="s">
        <v>488</v>
      </c>
      <c r="E128" s="29" t="s">
        <v>10</v>
      </c>
      <c r="F128" s="29" t="s">
        <v>10</v>
      </c>
      <c r="G128" s="30">
        <v>34108</v>
      </c>
      <c r="H128" s="26" t="s">
        <v>105</v>
      </c>
      <c r="I128" s="26" t="s">
        <v>110</v>
      </c>
      <c r="J128" s="26" t="s">
        <v>110</v>
      </c>
      <c r="K128" s="26">
        <v>26574</v>
      </c>
      <c r="L128" s="31" t="s">
        <v>2407</v>
      </c>
      <c r="M128" s="26">
        <v>4247</v>
      </c>
      <c r="N128" s="31" t="s">
        <v>529</v>
      </c>
      <c r="O128" s="26">
        <v>5545559358</v>
      </c>
      <c r="P128" s="29" t="s">
        <v>2179</v>
      </c>
      <c r="Q128" s="31" t="s">
        <v>11</v>
      </c>
      <c r="R128" s="26" t="s">
        <v>2211</v>
      </c>
      <c r="S128" s="31" t="s">
        <v>2214</v>
      </c>
      <c r="T128" s="26" t="s">
        <v>19</v>
      </c>
      <c r="U128" s="31" t="s">
        <v>2253</v>
      </c>
      <c r="V128" s="31" t="s">
        <v>653</v>
      </c>
      <c r="W128" s="31" t="s">
        <v>654</v>
      </c>
      <c r="X128" s="31" t="s">
        <v>60</v>
      </c>
      <c r="Y128" s="31">
        <v>4830</v>
      </c>
      <c r="Z128" s="31" t="s">
        <v>57</v>
      </c>
      <c r="AA128" s="31" t="s">
        <v>57</v>
      </c>
      <c r="AB128" s="31" t="s">
        <v>655</v>
      </c>
      <c r="AC128" s="31">
        <v>5556844770</v>
      </c>
      <c r="AD128" s="31">
        <v>5556791207</v>
      </c>
    </row>
    <row r="129" spans="1:30" x14ac:dyDescent="0.2">
      <c r="A129" s="26">
        <v>11121</v>
      </c>
      <c r="B129" s="26">
        <f>VLOOKUP(A129,Hoja1!A:A,1,FALSE)</f>
        <v>11121</v>
      </c>
      <c r="C129" s="27" t="s">
        <v>2011</v>
      </c>
      <c r="D129" s="32" t="s">
        <v>488</v>
      </c>
      <c r="E129" s="29" t="s">
        <v>10</v>
      </c>
      <c r="F129" s="29" t="s">
        <v>10</v>
      </c>
      <c r="G129" s="30">
        <v>34512</v>
      </c>
      <c r="H129" s="26" t="s">
        <v>49</v>
      </c>
      <c r="I129" s="26" t="s">
        <v>110</v>
      </c>
      <c r="J129" s="26" t="s">
        <v>110</v>
      </c>
      <c r="K129" s="26">
        <v>102317</v>
      </c>
      <c r="L129" s="31" t="s">
        <v>2408</v>
      </c>
      <c r="M129" s="26">
        <v>4247</v>
      </c>
      <c r="N129" s="31" t="s">
        <v>529</v>
      </c>
      <c r="O129" s="26">
        <v>5545559358</v>
      </c>
      <c r="P129" s="29" t="s">
        <v>2179</v>
      </c>
      <c r="Q129" s="31" t="s">
        <v>11</v>
      </c>
      <c r="R129" s="26" t="s">
        <v>2211</v>
      </c>
      <c r="S129" s="31" t="s">
        <v>2214</v>
      </c>
      <c r="T129" s="26" t="s">
        <v>19</v>
      </c>
      <c r="U129" s="31" t="s">
        <v>2253</v>
      </c>
      <c r="V129" s="31" t="s">
        <v>656</v>
      </c>
      <c r="W129" s="31" t="s">
        <v>657</v>
      </c>
      <c r="X129" s="31" t="s">
        <v>658</v>
      </c>
      <c r="Y129" s="31">
        <v>3520</v>
      </c>
      <c r="Z129" s="31" t="s">
        <v>57</v>
      </c>
      <c r="AA129" s="31" t="s">
        <v>57</v>
      </c>
      <c r="AB129" s="31" t="s">
        <v>659</v>
      </c>
      <c r="AC129" s="31">
        <v>5576527946</v>
      </c>
      <c r="AD129" s="31">
        <v>5555799233</v>
      </c>
    </row>
    <row r="130" spans="1:30" x14ac:dyDescent="0.2">
      <c r="A130" s="26">
        <v>11148</v>
      </c>
      <c r="B130" s="26">
        <f>VLOOKUP(A130,Hoja1!A:A,1,FALSE)</f>
        <v>11148</v>
      </c>
      <c r="C130" s="27" t="s">
        <v>577</v>
      </c>
      <c r="D130" s="32" t="s">
        <v>488</v>
      </c>
      <c r="E130" s="29" t="s">
        <v>10</v>
      </c>
      <c r="F130" s="29" t="s">
        <v>10</v>
      </c>
      <c r="G130" s="30">
        <v>35400</v>
      </c>
      <c r="H130" s="26" t="s">
        <v>49</v>
      </c>
      <c r="I130" s="26" t="s">
        <v>110</v>
      </c>
      <c r="J130" s="26" t="s">
        <v>110</v>
      </c>
      <c r="K130" s="26">
        <v>13038</v>
      </c>
      <c r="L130" s="31" t="s">
        <v>2409</v>
      </c>
      <c r="M130" s="26">
        <v>4247</v>
      </c>
      <c r="N130" s="31" t="s">
        <v>529</v>
      </c>
      <c r="O130" s="26">
        <v>5545559358</v>
      </c>
      <c r="P130" s="29" t="s">
        <v>2179</v>
      </c>
      <c r="Q130" s="31" t="s">
        <v>11</v>
      </c>
      <c r="R130" s="26" t="s">
        <v>2211</v>
      </c>
      <c r="S130" s="31" t="s">
        <v>2214</v>
      </c>
      <c r="T130" s="26" t="s">
        <v>19</v>
      </c>
      <c r="U130" s="31" t="s">
        <v>2253</v>
      </c>
      <c r="V130" s="31" t="s">
        <v>660</v>
      </c>
      <c r="W130" s="31" t="s">
        <v>661</v>
      </c>
      <c r="X130" s="31" t="s">
        <v>406</v>
      </c>
      <c r="Y130" s="31">
        <v>9740</v>
      </c>
      <c r="Z130" s="31" t="s">
        <v>57</v>
      </c>
      <c r="AA130" s="31" t="s">
        <v>57</v>
      </c>
      <c r="AB130" s="31" t="s">
        <v>662</v>
      </c>
      <c r="AC130" s="31">
        <v>5556922047</v>
      </c>
      <c r="AD130" s="31">
        <v>5556420855</v>
      </c>
    </row>
    <row r="131" spans="1:30" x14ac:dyDescent="0.2">
      <c r="A131" s="26">
        <v>11258</v>
      </c>
      <c r="B131" s="26">
        <f>VLOOKUP(A131,Hoja1!A:A,1,FALSE)</f>
        <v>11258</v>
      </c>
      <c r="C131" s="27" t="s">
        <v>664</v>
      </c>
      <c r="D131" s="32" t="s">
        <v>488</v>
      </c>
      <c r="E131" s="29" t="s">
        <v>10</v>
      </c>
      <c r="F131" s="29" t="s">
        <v>10</v>
      </c>
      <c r="G131" s="30">
        <v>36433</v>
      </c>
      <c r="H131" s="26" t="s">
        <v>49</v>
      </c>
      <c r="I131" s="26" t="s">
        <v>110</v>
      </c>
      <c r="J131" s="26" t="s">
        <v>110</v>
      </c>
      <c r="K131" s="26">
        <v>24502</v>
      </c>
      <c r="L131" s="31" t="s">
        <v>2410</v>
      </c>
      <c r="M131" s="26">
        <v>4247</v>
      </c>
      <c r="N131" s="31" t="s">
        <v>529</v>
      </c>
      <c r="O131" s="26">
        <v>5545559358</v>
      </c>
      <c r="P131" s="29" t="s">
        <v>2179</v>
      </c>
      <c r="Q131" s="31" t="s">
        <v>11</v>
      </c>
      <c r="R131" s="26" t="s">
        <v>2211</v>
      </c>
      <c r="S131" s="31" t="s">
        <v>2214</v>
      </c>
      <c r="T131" s="26" t="s">
        <v>19</v>
      </c>
      <c r="U131" s="31" t="s">
        <v>2253</v>
      </c>
      <c r="V131" s="31" t="s">
        <v>663</v>
      </c>
      <c r="W131" s="31" t="s">
        <v>664</v>
      </c>
      <c r="X131" s="31" t="s">
        <v>577</v>
      </c>
      <c r="Y131" s="31">
        <v>13300</v>
      </c>
      <c r="Z131" s="31" t="s">
        <v>57</v>
      </c>
      <c r="AA131" s="31" t="s">
        <v>57</v>
      </c>
      <c r="AB131" s="31" t="s">
        <v>665</v>
      </c>
      <c r="AC131" s="31">
        <v>5558414745</v>
      </c>
      <c r="AD131" s="31">
        <v>5558414636</v>
      </c>
    </row>
    <row r="132" spans="1:30" x14ac:dyDescent="0.2">
      <c r="A132" s="26">
        <v>11452</v>
      </c>
      <c r="B132" s="26">
        <f>VLOOKUP(A132,Hoja1!A:A,1,FALSE)</f>
        <v>11452</v>
      </c>
      <c r="C132" s="27" t="s">
        <v>2012</v>
      </c>
      <c r="D132" s="32" t="s">
        <v>488</v>
      </c>
      <c r="E132" s="29" t="s">
        <v>10</v>
      </c>
      <c r="F132" s="29" t="s">
        <v>10</v>
      </c>
      <c r="G132" s="30">
        <v>38322</v>
      </c>
      <c r="H132" s="26" t="s">
        <v>49</v>
      </c>
      <c r="I132" s="26" t="s">
        <v>110</v>
      </c>
      <c r="J132" s="26" t="s">
        <v>110</v>
      </c>
      <c r="K132" s="26">
        <v>13286</v>
      </c>
      <c r="L132" s="31" t="s">
        <v>2411</v>
      </c>
      <c r="M132" s="26">
        <v>4247</v>
      </c>
      <c r="N132" s="31" t="s">
        <v>529</v>
      </c>
      <c r="O132" s="26">
        <v>5545559358</v>
      </c>
      <c r="P132" s="29" t="s">
        <v>2179</v>
      </c>
      <c r="Q132" s="31" t="s">
        <v>11</v>
      </c>
      <c r="R132" s="26" t="s">
        <v>2211</v>
      </c>
      <c r="S132" s="31" t="s">
        <v>2214</v>
      </c>
      <c r="T132" s="26" t="s">
        <v>19</v>
      </c>
      <c r="U132" s="31" t="s">
        <v>2253</v>
      </c>
      <c r="V132" s="31" t="s">
        <v>666</v>
      </c>
      <c r="W132" s="31" t="s">
        <v>667</v>
      </c>
      <c r="X132" s="31" t="s">
        <v>60</v>
      </c>
      <c r="Y132" s="31">
        <v>4400</v>
      </c>
      <c r="Z132" s="31" t="s">
        <v>57</v>
      </c>
      <c r="AA132" s="31" t="s">
        <v>57</v>
      </c>
      <c r="AB132" s="31" t="s">
        <v>668</v>
      </c>
      <c r="AC132" s="31">
        <v>5568454747</v>
      </c>
      <c r="AD132" s="31">
        <v>5556569663</v>
      </c>
    </row>
    <row r="133" spans="1:30" x14ac:dyDescent="0.2">
      <c r="A133" s="26">
        <v>11470</v>
      </c>
      <c r="B133" s="26">
        <f>VLOOKUP(A133,Hoja1!A:A,1,FALSE)</f>
        <v>11470</v>
      </c>
      <c r="C133" s="27" t="s">
        <v>2013</v>
      </c>
      <c r="D133" s="32" t="s">
        <v>488</v>
      </c>
      <c r="E133" s="29" t="s">
        <v>10</v>
      </c>
      <c r="F133" s="29" t="s">
        <v>10</v>
      </c>
      <c r="G133" s="30">
        <v>38609</v>
      </c>
      <c r="H133" s="26" t="s">
        <v>49</v>
      </c>
      <c r="I133" s="26" t="s">
        <v>110</v>
      </c>
      <c r="J133" s="26" t="s">
        <v>110</v>
      </c>
      <c r="K133" s="26">
        <v>13820</v>
      </c>
      <c r="L133" s="31" t="s">
        <v>2412</v>
      </c>
      <c r="M133" s="26">
        <v>4247</v>
      </c>
      <c r="N133" s="31" t="s">
        <v>529</v>
      </c>
      <c r="O133" s="26">
        <v>5545559358</v>
      </c>
      <c r="P133" s="29" t="s">
        <v>2179</v>
      </c>
      <c r="Q133" s="31" t="s">
        <v>11</v>
      </c>
      <c r="R133" s="26" t="s">
        <v>2211</v>
      </c>
      <c r="S133" s="31" t="s">
        <v>2214</v>
      </c>
      <c r="T133" s="26" t="s">
        <v>19</v>
      </c>
      <c r="U133" s="31" t="s">
        <v>2253</v>
      </c>
      <c r="V133" s="31" t="s">
        <v>669</v>
      </c>
      <c r="W133" s="31" t="s">
        <v>670</v>
      </c>
      <c r="X133" s="31" t="s">
        <v>406</v>
      </c>
      <c r="Y133" s="31">
        <v>9870</v>
      </c>
      <c r="Z133" s="31" t="s">
        <v>57</v>
      </c>
      <c r="AA133" s="31" t="s">
        <v>57</v>
      </c>
      <c r="AB133" s="31" t="s">
        <v>671</v>
      </c>
      <c r="AC133" s="31">
        <v>5550376705</v>
      </c>
      <c r="AD133" s="31">
        <v>5550376700</v>
      </c>
    </row>
    <row r="134" spans="1:30" x14ac:dyDescent="0.2">
      <c r="A134" s="26">
        <v>12402</v>
      </c>
      <c r="B134" s="26">
        <f>VLOOKUP(A134,Hoja1!A:A,1,FALSE)</f>
        <v>12402</v>
      </c>
      <c r="C134" s="27" t="s">
        <v>2014</v>
      </c>
      <c r="D134" s="32" t="s">
        <v>488</v>
      </c>
      <c r="E134" s="29" t="s">
        <v>10</v>
      </c>
      <c r="F134" s="29" t="s">
        <v>10</v>
      </c>
      <c r="G134" s="30">
        <v>43287</v>
      </c>
      <c r="H134" s="26" t="s">
        <v>49</v>
      </c>
      <c r="I134" s="26" t="s">
        <v>50</v>
      </c>
      <c r="J134" s="26" t="s">
        <v>50</v>
      </c>
      <c r="K134" s="26">
        <v>131200</v>
      </c>
      <c r="L134" s="31" t="s">
        <v>2413</v>
      </c>
      <c r="M134" s="26">
        <v>4247</v>
      </c>
      <c r="N134" s="31" t="s">
        <v>529</v>
      </c>
      <c r="O134" s="26">
        <v>5545559358</v>
      </c>
      <c r="P134" s="29" t="s">
        <v>2179</v>
      </c>
      <c r="Q134" s="31" t="s">
        <v>11</v>
      </c>
      <c r="R134" s="26" t="s">
        <v>2211</v>
      </c>
      <c r="S134" s="31" t="s">
        <v>2214</v>
      </c>
      <c r="T134" s="26" t="s">
        <v>19</v>
      </c>
      <c r="U134" s="31" t="s">
        <v>2253</v>
      </c>
      <c r="V134" s="31" t="s">
        <v>672</v>
      </c>
      <c r="W134" s="31" t="s">
        <v>673</v>
      </c>
      <c r="X134" s="31" t="s">
        <v>406</v>
      </c>
      <c r="Y134" s="31">
        <v>9910</v>
      </c>
      <c r="Z134" s="31" t="s">
        <v>57</v>
      </c>
      <c r="AA134" s="31" t="s">
        <v>57</v>
      </c>
      <c r="AB134" s="31" t="s">
        <v>674</v>
      </c>
      <c r="AC134" s="31">
        <v>5539968992</v>
      </c>
      <c r="AD134" s="31">
        <v>5539968992</v>
      </c>
    </row>
    <row r="135" spans="1:30" x14ac:dyDescent="0.2">
      <c r="A135" s="26">
        <v>11023</v>
      </c>
      <c r="B135" s="26">
        <f>VLOOKUP(A135,Hoja1!A:A,1,FALSE)</f>
        <v>11023</v>
      </c>
      <c r="C135" s="27" t="s">
        <v>2033</v>
      </c>
      <c r="D135" s="32" t="s">
        <v>488</v>
      </c>
      <c r="E135" s="29" t="s">
        <v>10</v>
      </c>
      <c r="F135" s="29" t="s">
        <v>10</v>
      </c>
      <c r="G135" s="30">
        <v>33385</v>
      </c>
      <c r="H135" s="26" t="s">
        <v>49</v>
      </c>
      <c r="I135" s="26" t="s">
        <v>110</v>
      </c>
      <c r="J135" s="26" t="s">
        <v>110</v>
      </c>
      <c r="K135" s="26">
        <v>130995</v>
      </c>
      <c r="L135" s="31" t="s">
        <v>2436</v>
      </c>
      <c r="M135" s="26">
        <v>5760</v>
      </c>
      <c r="N135" s="31" t="s">
        <v>555</v>
      </c>
      <c r="O135" s="26">
        <v>5579083406</v>
      </c>
      <c r="P135" s="29" t="s">
        <v>2182</v>
      </c>
      <c r="Q135" s="31" t="s">
        <v>11</v>
      </c>
      <c r="R135" s="26" t="s">
        <v>2211</v>
      </c>
      <c r="S135" s="31" t="s">
        <v>2214</v>
      </c>
      <c r="T135" s="26" t="s">
        <v>19</v>
      </c>
      <c r="U135" s="31" t="s">
        <v>2253</v>
      </c>
      <c r="V135" s="31" t="s">
        <v>746</v>
      </c>
      <c r="W135" s="31" t="s">
        <v>747</v>
      </c>
      <c r="X135" s="31" t="s">
        <v>60</v>
      </c>
      <c r="Y135" s="31">
        <v>9480</v>
      </c>
      <c r="Z135" s="31" t="s">
        <v>57</v>
      </c>
      <c r="AA135" s="31" t="s">
        <v>57</v>
      </c>
      <c r="AB135" s="31" t="s">
        <v>748</v>
      </c>
      <c r="AC135" s="31">
        <v>5552434916</v>
      </c>
      <c r="AD135" s="31">
        <v>5556726969</v>
      </c>
    </row>
    <row r="136" spans="1:30" x14ac:dyDescent="0.2">
      <c r="A136" s="26">
        <v>11037</v>
      </c>
      <c r="B136" s="26">
        <f>VLOOKUP(A136,Hoja1!A:A,1,FALSE)</f>
        <v>11037</v>
      </c>
      <c r="C136" s="27" t="s">
        <v>2034</v>
      </c>
      <c r="D136" s="32" t="s">
        <v>488</v>
      </c>
      <c r="E136" s="29" t="s">
        <v>10</v>
      </c>
      <c r="F136" s="29" t="s">
        <v>10</v>
      </c>
      <c r="G136" s="30">
        <v>33491</v>
      </c>
      <c r="H136" s="26" t="s">
        <v>49</v>
      </c>
      <c r="I136" s="26" t="s">
        <v>110</v>
      </c>
      <c r="J136" s="26" t="s">
        <v>110</v>
      </c>
      <c r="K136" s="26">
        <v>20428</v>
      </c>
      <c r="L136" s="31" t="s">
        <v>2437</v>
      </c>
      <c r="M136" s="26">
        <v>5760</v>
      </c>
      <c r="N136" s="31" t="s">
        <v>555</v>
      </c>
      <c r="O136" s="26">
        <v>5579083406</v>
      </c>
      <c r="P136" s="29" t="s">
        <v>2182</v>
      </c>
      <c r="Q136" s="31" t="s">
        <v>11</v>
      </c>
      <c r="R136" s="26" t="s">
        <v>2211</v>
      </c>
      <c r="S136" s="31" t="s">
        <v>2214</v>
      </c>
      <c r="T136" s="26" t="s">
        <v>19</v>
      </c>
      <c r="U136" s="31" t="s">
        <v>2253</v>
      </c>
      <c r="V136" s="31" t="s">
        <v>749</v>
      </c>
      <c r="W136" s="31" t="s">
        <v>750</v>
      </c>
      <c r="X136" s="31" t="s">
        <v>60</v>
      </c>
      <c r="Y136" s="31">
        <v>4360</v>
      </c>
      <c r="Z136" s="31" t="s">
        <v>57</v>
      </c>
      <c r="AA136" s="31" t="s">
        <v>57</v>
      </c>
      <c r="AB136" s="31" t="s">
        <v>751</v>
      </c>
      <c r="AC136" s="31">
        <v>5556583223</v>
      </c>
      <c r="AD136" s="31">
        <v>5556581380</v>
      </c>
    </row>
    <row r="137" spans="1:30" x14ac:dyDescent="0.2">
      <c r="A137" s="26">
        <v>11099</v>
      </c>
      <c r="B137" s="26">
        <f>VLOOKUP(A137,Hoja1!A:A,1,FALSE)</f>
        <v>11099</v>
      </c>
      <c r="C137" s="27" t="s">
        <v>425</v>
      </c>
      <c r="D137" s="32" t="s">
        <v>488</v>
      </c>
      <c r="E137" s="29" t="s">
        <v>10</v>
      </c>
      <c r="F137" s="29" t="s">
        <v>10</v>
      </c>
      <c r="G137" s="30">
        <v>34169</v>
      </c>
      <c r="H137" s="26" t="s">
        <v>49</v>
      </c>
      <c r="I137" s="26" t="s">
        <v>110</v>
      </c>
      <c r="J137" s="26" t="s">
        <v>110</v>
      </c>
      <c r="K137" s="26">
        <v>24873</v>
      </c>
      <c r="L137" s="31" t="s">
        <v>2438</v>
      </c>
      <c r="M137" s="26">
        <v>5760</v>
      </c>
      <c r="N137" s="31" t="s">
        <v>555</v>
      </c>
      <c r="O137" s="26">
        <v>5579083406</v>
      </c>
      <c r="P137" s="29" t="s">
        <v>2182</v>
      </c>
      <c r="Q137" s="31" t="s">
        <v>11</v>
      </c>
      <c r="R137" s="26" t="s">
        <v>2211</v>
      </c>
      <c r="S137" s="31" t="s">
        <v>2214</v>
      </c>
      <c r="T137" s="26" t="s">
        <v>19</v>
      </c>
      <c r="U137" s="31" t="s">
        <v>2253</v>
      </c>
      <c r="V137" s="31" t="s">
        <v>752</v>
      </c>
      <c r="W137" s="31" t="s">
        <v>425</v>
      </c>
      <c r="X137" s="31" t="s">
        <v>56</v>
      </c>
      <c r="Y137" s="31">
        <v>3020</v>
      </c>
      <c r="Z137" s="31" t="s">
        <v>57</v>
      </c>
      <c r="AA137" s="31" t="s">
        <v>57</v>
      </c>
      <c r="AB137" s="31" t="s">
        <v>753</v>
      </c>
      <c r="AC137" s="31">
        <v>5555323443</v>
      </c>
      <c r="AD137" s="31">
        <v>5555322929</v>
      </c>
    </row>
    <row r="138" spans="1:30" x14ac:dyDescent="0.2">
      <c r="A138" s="26">
        <v>11150</v>
      </c>
      <c r="B138" s="26">
        <f>VLOOKUP(A138,Hoja1!A:A,1,FALSE)</f>
        <v>11150</v>
      </c>
      <c r="C138" s="27" t="s">
        <v>755</v>
      </c>
      <c r="D138" s="32" t="s">
        <v>488</v>
      </c>
      <c r="E138" s="29" t="s">
        <v>10</v>
      </c>
      <c r="F138" s="29" t="s">
        <v>10</v>
      </c>
      <c r="G138" s="30">
        <v>35407</v>
      </c>
      <c r="H138" s="26" t="s">
        <v>49</v>
      </c>
      <c r="I138" s="26" t="s">
        <v>110</v>
      </c>
      <c r="J138" s="26" t="s">
        <v>110</v>
      </c>
      <c r="K138" s="26">
        <v>42412</v>
      </c>
      <c r="L138" s="31" t="s">
        <v>2439</v>
      </c>
      <c r="M138" s="26">
        <v>5760</v>
      </c>
      <c r="N138" s="31" t="s">
        <v>555</v>
      </c>
      <c r="O138" s="26">
        <v>5579083406</v>
      </c>
      <c r="P138" s="29" t="s">
        <v>2182</v>
      </c>
      <c r="Q138" s="31" t="s">
        <v>11</v>
      </c>
      <c r="R138" s="26" t="s">
        <v>2211</v>
      </c>
      <c r="S138" s="31" t="s">
        <v>2214</v>
      </c>
      <c r="T138" s="26" t="s">
        <v>19</v>
      </c>
      <c r="U138" s="31" t="s">
        <v>2253</v>
      </c>
      <c r="V138" s="31" t="s">
        <v>754</v>
      </c>
      <c r="W138" s="31" t="s">
        <v>755</v>
      </c>
      <c r="X138" s="31" t="s">
        <v>56</v>
      </c>
      <c r="Y138" s="31">
        <v>3100</v>
      </c>
      <c r="Z138" s="31" t="s">
        <v>57</v>
      </c>
      <c r="AA138" s="31" t="s">
        <v>57</v>
      </c>
      <c r="AB138" s="31" t="s">
        <v>756</v>
      </c>
      <c r="AC138" s="31">
        <v>5576527952</v>
      </c>
      <c r="AD138" s="31">
        <v>5555439873</v>
      </c>
    </row>
    <row r="139" spans="1:30" x14ac:dyDescent="0.2">
      <c r="A139" s="26">
        <v>11225</v>
      </c>
      <c r="B139" s="26">
        <f>VLOOKUP(A139,Hoja1!A:A,1,FALSE)</f>
        <v>11225</v>
      </c>
      <c r="C139" s="27" t="s">
        <v>2035</v>
      </c>
      <c r="D139" s="32" t="s">
        <v>488</v>
      </c>
      <c r="E139" s="29" t="s">
        <v>10</v>
      </c>
      <c r="F139" s="29" t="s">
        <v>10</v>
      </c>
      <c r="G139" s="30">
        <v>36141</v>
      </c>
      <c r="H139" s="26" t="s">
        <v>49</v>
      </c>
      <c r="I139" s="26" t="s">
        <v>110</v>
      </c>
      <c r="J139" s="26" t="s">
        <v>110</v>
      </c>
      <c r="K139" s="26">
        <v>24539</v>
      </c>
      <c r="L139" s="31" t="s">
        <v>2440</v>
      </c>
      <c r="M139" s="26">
        <v>5760</v>
      </c>
      <c r="N139" s="31" t="s">
        <v>555</v>
      </c>
      <c r="O139" s="26">
        <v>5579083406</v>
      </c>
      <c r="P139" s="29" t="s">
        <v>2182</v>
      </c>
      <c r="Q139" s="31" t="s">
        <v>11</v>
      </c>
      <c r="R139" s="26" t="s">
        <v>2211</v>
      </c>
      <c r="S139" s="31" t="s">
        <v>2214</v>
      </c>
      <c r="T139" s="26" t="s">
        <v>19</v>
      </c>
      <c r="U139" s="31" t="s">
        <v>2253</v>
      </c>
      <c r="V139" s="31" t="s">
        <v>757</v>
      </c>
      <c r="W139" s="31" t="s">
        <v>758</v>
      </c>
      <c r="X139" s="31" t="s">
        <v>56</v>
      </c>
      <c r="Y139" s="31">
        <v>3339</v>
      </c>
      <c r="Z139" s="31" t="s">
        <v>57</v>
      </c>
      <c r="AA139" s="31" t="s">
        <v>57</v>
      </c>
      <c r="AB139" s="27" t="s">
        <v>759</v>
      </c>
      <c r="AC139" s="31">
        <v>5575860431</v>
      </c>
      <c r="AD139" s="31">
        <v>5576527958</v>
      </c>
    </row>
    <row r="140" spans="1:30" x14ac:dyDescent="0.2">
      <c r="A140" s="26">
        <v>11529</v>
      </c>
      <c r="B140" s="26">
        <f>VLOOKUP(A140,Hoja1!A:A,1,FALSE)</f>
        <v>11529</v>
      </c>
      <c r="C140" s="27" t="s">
        <v>2036</v>
      </c>
      <c r="D140" s="32" t="s">
        <v>488</v>
      </c>
      <c r="E140" s="29" t="s">
        <v>10</v>
      </c>
      <c r="F140" s="29" t="s">
        <v>10</v>
      </c>
      <c r="G140" s="30">
        <v>39664</v>
      </c>
      <c r="H140" s="26" t="s">
        <v>49</v>
      </c>
      <c r="I140" s="26" t="s">
        <v>110</v>
      </c>
      <c r="J140" s="26" t="s">
        <v>110</v>
      </c>
      <c r="K140" s="26">
        <v>18715</v>
      </c>
      <c r="L140" s="31" t="s">
        <v>2441</v>
      </c>
      <c r="M140" s="26">
        <v>5760</v>
      </c>
      <c r="N140" s="31" t="s">
        <v>555</v>
      </c>
      <c r="O140" s="26">
        <v>5579083406</v>
      </c>
      <c r="P140" s="29" t="s">
        <v>2182</v>
      </c>
      <c r="Q140" s="31" t="s">
        <v>11</v>
      </c>
      <c r="R140" s="26" t="s">
        <v>2211</v>
      </c>
      <c r="S140" s="31" t="s">
        <v>2214</v>
      </c>
      <c r="T140" s="26" t="s">
        <v>19</v>
      </c>
      <c r="U140" s="31" t="s">
        <v>2253</v>
      </c>
      <c r="V140" s="31" t="s">
        <v>760</v>
      </c>
      <c r="W140" s="31" t="s">
        <v>761</v>
      </c>
      <c r="X140" s="31" t="s">
        <v>60</v>
      </c>
      <c r="Y140" s="31">
        <v>4330</v>
      </c>
      <c r="Z140" s="31" t="s">
        <v>57</v>
      </c>
      <c r="AA140" s="31" t="s">
        <v>57</v>
      </c>
      <c r="AB140" s="31" t="s">
        <v>762</v>
      </c>
      <c r="AC140" s="31">
        <v>5556177608</v>
      </c>
      <c r="AD140" s="31">
        <v>5556177770</v>
      </c>
    </row>
    <row r="141" spans="1:30" x14ac:dyDescent="0.2">
      <c r="A141" s="26">
        <v>11617</v>
      </c>
      <c r="B141" s="26">
        <f>VLOOKUP(A141,Hoja1!A:A,1,FALSE)</f>
        <v>11617</v>
      </c>
      <c r="C141" s="27" t="s">
        <v>2037</v>
      </c>
      <c r="D141" s="32" t="s">
        <v>488</v>
      </c>
      <c r="E141" s="29" t="s">
        <v>10</v>
      </c>
      <c r="F141" s="29" t="s">
        <v>10</v>
      </c>
      <c r="G141" s="30">
        <v>42761</v>
      </c>
      <c r="H141" s="26" t="s">
        <v>49</v>
      </c>
      <c r="I141" s="26" t="s">
        <v>110</v>
      </c>
      <c r="J141" s="26" t="s">
        <v>110</v>
      </c>
      <c r="K141" s="26">
        <v>43570</v>
      </c>
      <c r="L141" s="31" t="s">
        <v>2442</v>
      </c>
      <c r="M141" s="26">
        <v>5760</v>
      </c>
      <c r="N141" s="31" t="s">
        <v>555</v>
      </c>
      <c r="O141" s="26">
        <v>5579083406</v>
      </c>
      <c r="P141" s="29" t="s">
        <v>2182</v>
      </c>
      <c r="Q141" s="31" t="s">
        <v>11</v>
      </c>
      <c r="R141" s="26" t="s">
        <v>2211</v>
      </c>
      <c r="S141" s="31" t="s">
        <v>2214</v>
      </c>
      <c r="T141" s="26" t="s">
        <v>19</v>
      </c>
      <c r="U141" s="31" t="s">
        <v>2253</v>
      </c>
      <c r="V141" s="31" t="s">
        <v>763</v>
      </c>
      <c r="W141" s="31" t="s">
        <v>755</v>
      </c>
      <c r="X141" s="31" t="s">
        <v>56</v>
      </c>
      <c r="Y141" s="31">
        <v>3100</v>
      </c>
      <c r="Z141" s="31" t="s">
        <v>57</v>
      </c>
      <c r="AA141" s="31" t="s">
        <v>57</v>
      </c>
      <c r="AB141" s="31" t="s">
        <v>764</v>
      </c>
      <c r="AC141" s="31">
        <v>5555340309</v>
      </c>
      <c r="AD141" s="31">
        <v>5555340309</v>
      </c>
    </row>
    <row r="142" spans="1:30" x14ac:dyDescent="0.2">
      <c r="A142" s="26">
        <v>12343</v>
      </c>
      <c r="B142" s="26">
        <f>VLOOKUP(A142,Hoja1!A:A,1,FALSE)</f>
        <v>12343</v>
      </c>
      <c r="C142" s="27" t="s">
        <v>2038</v>
      </c>
      <c r="D142" s="32" t="s">
        <v>488</v>
      </c>
      <c r="E142" s="29" t="s">
        <v>10</v>
      </c>
      <c r="F142" s="29" t="s">
        <v>10</v>
      </c>
      <c r="G142" s="30">
        <v>43448</v>
      </c>
      <c r="H142" s="26" t="s">
        <v>49</v>
      </c>
      <c r="I142" s="26" t="s">
        <v>110</v>
      </c>
      <c r="J142" s="26" t="s">
        <v>110</v>
      </c>
      <c r="K142" s="26">
        <v>29718</v>
      </c>
      <c r="L142" s="31" t="s">
        <v>2443</v>
      </c>
      <c r="M142" s="26">
        <v>5760</v>
      </c>
      <c r="N142" s="31" t="s">
        <v>555</v>
      </c>
      <c r="O142" s="26">
        <v>5579083406</v>
      </c>
      <c r="P142" s="29" t="s">
        <v>2182</v>
      </c>
      <c r="Q142" s="31" t="s">
        <v>11</v>
      </c>
      <c r="R142" s="26" t="s">
        <v>2211</v>
      </c>
      <c r="S142" s="31" t="s">
        <v>2214</v>
      </c>
      <c r="T142" s="26" t="s">
        <v>19</v>
      </c>
      <c r="U142" s="31" t="s">
        <v>2253</v>
      </c>
      <c r="V142" s="31" t="s">
        <v>765</v>
      </c>
      <c r="W142" s="31" t="s">
        <v>766</v>
      </c>
      <c r="X142" s="31" t="s">
        <v>767</v>
      </c>
      <c r="Y142" s="31">
        <v>3020</v>
      </c>
      <c r="Z142" s="31" t="s">
        <v>57</v>
      </c>
      <c r="AA142" s="31" t="s">
        <v>57</v>
      </c>
      <c r="AB142" s="31" t="s">
        <v>768</v>
      </c>
      <c r="AC142" s="31">
        <v>5514544532</v>
      </c>
      <c r="AD142" s="31">
        <v>5514544532</v>
      </c>
    </row>
    <row r="143" spans="1:30" x14ac:dyDescent="0.2">
      <c r="A143" s="26">
        <v>12362</v>
      </c>
      <c r="B143" s="26">
        <f>VLOOKUP(A143,Hoja1!A:A,1,FALSE)</f>
        <v>12362</v>
      </c>
      <c r="C143" s="27" t="s">
        <v>2039</v>
      </c>
      <c r="D143" s="32" t="s">
        <v>488</v>
      </c>
      <c r="E143" s="29" t="s">
        <v>10</v>
      </c>
      <c r="F143" s="29" t="s">
        <v>10</v>
      </c>
      <c r="G143" s="30">
        <v>43658</v>
      </c>
      <c r="H143" s="26" t="s">
        <v>49</v>
      </c>
      <c r="I143" s="26" t="s">
        <v>110</v>
      </c>
      <c r="J143" s="26" t="s">
        <v>110</v>
      </c>
      <c r="K143" s="26">
        <v>26938</v>
      </c>
      <c r="L143" s="31" t="s">
        <v>2444</v>
      </c>
      <c r="M143" s="26">
        <v>5760</v>
      </c>
      <c r="N143" s="31" t="s">
        <v>555</v>
      </c>
      <c r="O143" s="26">
        <v>5579083406</v>
      </c>
      <c r="P143" s="29" t="s">
        <v>2182</v>
      </c>
      <c r="Q143" s="31" t="s">
        <v>11</v>
      </c>
      <c r="R143" s="26" t="s">
        <v>2211</v>
      </c>
      <c r="S143" s="31" t="s">
        <v>2214</v>
      </c>
      <c r="T143" s="26" t="s">
        <v>19</v>
      </c>
      <c r="U143" s="31" t="s">
        <v>2253</v>
      </c>
      <c r="V143" s="31" t="s">
        <v>2153</v>
      </c>
      <c r="W143" s="31" t="s">
        <v>769</v>
      </c>
      <c r="X143" s="31" t="s">
        <v>60</v>
      </c>
      <c r="Y143" s="31">
        <v>4200</v>
      </c>
      <c r="Z143" s="31" t="s">
        <v>57</v>
      </c>
      <c r="AA143" s="31" t="s">
        <v>57</v>
      </c>
      <c r="AB143" s="31" t="s">
        <v>770</v>
      </c>
      <c r="AC143" s="31">
        <v>5544380078</v>
      </c>
      <c r="AD143" s="31">
        <v>5544380078</v>
      </c>
    </row>
    <row r="144" spans="1:30" x14ac:dyDescent="0.2">
      <c r="A144" s="15">
        <v>12380</v>
      </c>
      <c r="B144" s="26" t="e">
        <f>VLOOKUP(A144,Hoja1!A:A,1,FALSE)</f>
        <v>#N/A</v>
      </c>
      <c r="C144" s="13" t="s">
        <v>2098</v>
      </c>
      <c r="D144" s="32" t="s">
        <v>488</v>
      </c>
      <c r="E144" s="33" t="s">
        <v>10</v>
      </c>
      <c r="F144" s="33" t="s">
        <v>10</v>
      </c>
      <c r="G144" s="34">
        <v>43769</v>
      </c>
      <c r="H144" s="15" t="s">
        <v>49</v>
      </c>
      <c r="I144" s="15" t="s">
        <v>110</v>
      </c>
      <c r="J144" s="15" t="s">
        <v>110</v>
      </c>
      <c r="K144" s="26">
        <v>14999</v>
      </c>
      <c r="L144" s="31" t="s">
        <v>2445</v>
      </c>
      <c r="M144" s="26">
        <v>5760</v>
      </c>
      <c r="N144" s="31" t="s">
        <v>555</v>
      </c>
      <c r="O144" s="26">
        <v>5579083406</v>
      </c>
      <c r="P144" s="29" t="s">
        <v>2182</v>
      </c>
      <c r="Q144" s="31" t="s">
        <v>11</v>
      </c>
      <c r="R144" s="26" t="s">
        <v>2211</v>
      </c>
      <c r="S144" s="31" t="s">
        <v>2214</v>
      </c>
      <c r="T144" s="26" t="s">
        <v>19</v>
      </c>
      <c r="U144" s="31" t="s">
        <v>2253</v>
      </c>
      <c r="V144" s="16" t="s">
        <v>2154</v>
      </c>
      <c r="W144" s="31" t="s">
        <v>2100</v>
      </c>
      <c r="X144" s="31" t="s">
        <v>767</v>
      </c>
      <c r="Y144" s="31">
        <v>3303</v>
      </c>
      <c r="Z144" s="31" t="s">
        <v>57</v>
      </c>
      <c r="AA144" s="31" t="s">
        <v>57</v>
      </c>
      <c r="AB144" s="31" t="s">
        <v>2101</v>
      </c>
      <c r="AC144" s="31">
        <v>5544380076</v>
      </c>
      <c r="AD144" s="31">
        <v>5544380076</v>
      </c>
    </row>
    <row r="145" spans="1:30" x14ac:dyDescent="0.2">
      <c r="A145" s="26">
        <v>11013</v>
      </c>
      <c r="B145" s="26">
        <f>VLOOKUP(A145,Hoja1!A:A,1,FALSE)</f>
        <v>11013</v>
      </c>
      <c r="C145" s="27" t="s">
        <v>1991</v>
      </c>
      <c r="D145" s="32" t="s">
        <v>488</v>
      </c>
      <c r="E145" s="29" t="s">
        <v>10</v>
      </c>
      <c r="F145" s="29" t="s">
        <v>10</v>
      </c>
      <c r="G145" s="30">
        <v>33112</v>
      </c>
      <c r="H145" s="26" t="s">
        <v>49</v>
      </c>
      <c r="I145" s="26" t="s">
        <v>110</v>
      </c>
      <c r="J145" s="26" t="s">
        <v>110</v>
      </c>
      <c r="K145" s="26">
        <v>113020</v>
      </c>
      <c r="L145" s="31" t="s">
        <v>2386</v>
      </c>
      <c r="M145" s="26">
        <v>2565</v>
      </c>
      <c r="N145" s="31" t="s">
        <v>588</v>
      </c>
      <c r="O145" s="26">
        <v>5541302269</v>
      </c>
      <c r="P145" s="29" t="s">
        <v>2177</v>
      </c>
      <c r="Q145" s="31" t="s">
        <v>11</v>
      </c>
      <c r="R145" s="26" t="s">
        <v>2211</v>
      </c>
      <c r="S145" s="31" t="s">
        <v>2214</v>
      </c>
      <c r="T145" s="26" t="s">
        <v>19</v>
      </c>
      <c r="U145" s="31" t="s">
        <v>2253</v>
      </c>
      <c r="V145" s="31" t="s">
        <v>589</v>
      </c>
      <c r="W145" s="31" t="s">
        <v>590</v>
      </c>
      <c r="X145" s="31" t="s">
        <v>56</v>
      </c>
      <c r="Y145" s="31">
        <v>3940</v>
      </c>
      <c r="Z145" s="31" t="s">
        <v>57</v>
      </c>
      <c r="AA145" s="31" t="s">
        <v>57</v>
      </c>
      <c r="AB145" s="31" t="s">
        <v>591</v>
      </c>
      <c r="AC145" s="31">
        <v>5578240487</v>
      </c>
      <c r="AD145" s="31">
        <v>5555343535</v>
      </c>
    </row>
    <row r="146" spans="1:30" x14ac:dyDescent="0.2">
      <c r="A146" s="26">
        <v>11026</v>
      </c>
      <c r="B146" s="26">
        <f>VLOOKUP(A146,Hoja1!A:A,1,FALSE)</f>
        <v>11026</v>
      </c>
      <c r="C146" s="27" t="s">
        <v>1992</v>
      </c>
      <c r="D146" s="32" t="s">
        <v>488</v>
      </c>
      <c r="E146" s="29" t="s">
        <v>10</v>
      </c>
      <c r="F146" s="29" t="s">
        <v>10</v>
      </c>
      <c r="G146" s="30">
        <v>33436</v>
      </c>
      <c r="H146" s="26" t="s">
        <v>49</v>
      </c>
      <c r="I146" s="26" t="s">
        <v>110</v>
      </c>
      <c r="J146" s="26" t="s">
        <v>110</v>
      </c>
      <c r="K146" s="26">
        <v>136070</v>
      </c>
      <c r="L146" s="31" t="s">
        <v>2387</v>
      </c>
      <c r="M146" s="26">
        <v>2565</v>
      </c>
      <c r="N146" s="31" t="s">
        <v>588</v>
      </c>
      <c r="O146" s="26">
        <v>5541302269</v>
      </c>
      <c r="P146" s="29" t="s">
        <v>2177</v>
      </c>
      <c r="Q146" s="31" t="s">
        <v>11</v>
      </c>
      <c r="R146" s="26" t="s">
        <v>2211</v>
      </c>
      <c r="S146" s="31" t="s">
        <v>2214</v>
      </c>
      <c r="T146" s="26" t="s">
        <v>19</v>
      </c>
      <c r="U146" s="31" t="s">
        <v>2253</v>
      </c>
      <c r="V146" s="31" t="s">
        <v>592</v>
      </c>
      <c r="W146" s="31" t="s">
        <v>593</v>
      </c>
      <c r="X146" s="31" t="s">
        <v>56</v>
      </c>
      <c r="Y146" s="31">
        <v>3810</v>
      </c>
      <c r="Z146" s="31" t="s">
        <v>57</v>
      </c>
      <c r="AA146" s="31" t="s">
        <v>57</v>
      </c>
      <c r="AB146" s="31" t="s">
        <v>594</v>
      </c>
      <c r="AC146" s="31">
        <v>5575867537</v>
      </c>
      <c r="AD146" s="31">
        <v>5555363268</v>
      </c>
    </row>
    <row r="147" spans="1:30" x14ac:dyDescent="0.2">
      <c r="A147" s="26">
        <v>11036</v>
      </c>
      <c r="B147" s="26">
        <f>VLOOKUP(A147,Hoja1!A:A,1,FALSE)</f>
        <v>11036</v>
      </c>
      <c r="C147" s="27" t="s">
        <v>1993</v>
      </c>
      <c r="D147" s="32" t="s">
        <v>488</v>
      </c>
      <c r="E147" s="29" t="s">
        <v>10</v>
      </c>
      <c r="F147" s="29" t="s">
        <v>10</v>
      </c>
      <c r="G147" s="30">
        <v>33497</v>
      </c>
      <c r="H147" s="26" t="s">
        <v>49</v>
      </c>
      <c r="I147" s="26" t="s">
        <v>110</v>
      </c>
      <c r="J147" s="26" t="s">
        <v>110</v>
      </c>
      <c r="K147" s="26">
        <v>27685</v>
      </c>
      <c r="L147" s="31" t="s">
        <v>2388</v>
      </c>
      <c r="M147" s="26">
        <v>2565</v>
      </c>
      <c r="N147" s="31" t="s">
        <v>588</v>
      </c>
      <c r="O147" s="26">
        <v>5541302269</v>
      </c>
      <c r="P147" s="29" t="s">
        <v>2177</v>
      </c>
      <c r="Q147" s="31" t="s">
        <v>11</v>
      </c>
      <c r="R147" s="26" t="s">
        <v>2211</v>
      </c>
      <c r="S147" s="31" t="s">
        <v>2214</v>
      </c>
      <c r="T147" s="26" t="s">
        <v>19</v>
      </c>
      <c r="U147" s="31" t="s">
        <v>2253</v>
      </c>
      <c r="V147" s="31" t="s">
        <v>595</v>
      </c>
      <c r="W147" s="31" t="s">
        <v>596</v>
      </c>
      <c r="X147" s="31" t="s">
        <v>532</v>
      </c>
      <c r="Y147" s="31">
        <v>1759</v>
      </c>
      <c r="Z147" s="31" t="s">
        <v>57</v>
      </c>
      <c r="AA147" s="31" t="s">
        <v>57</v>
      </c>
      <c r="AB147" s="31" t="s">
        <v>597</v>
      </c>
      <c r="AC147" s="31">
        <v>5556357150</v>
      </c>
      <c r="AD147" s="31">
        <v>5556353360</v>
      </c>
    </row>
    <row r="148" spans="1:30" x14ac:dyDescent="0.2">
      <c r="A148" s="26">
        <v>11197</v>
      </c>
      <c r="B148" s="26">
        <f>VLOOKUP(A148,Hoja1!A:A,1,FALSE)</f>
        <v>11197</v>
      </c>
      <c r="C148" s="27" t="s">
        <v>1994</v>
      </c>
      <c r="D148" s="32" t="s">
        <v>488</v>
      </c>
      <c r="E148" s="29" t="s">
        <v>10</v>
      </c>
      <c r="F148" s="29" t="s">
        <v>10</v>
      </c>
      <c r="G148" s="30">
        <v>36073</v>
      </c>
      <c r="H148" s="26" t="s">
        <v>49</v>
      </c>
      <c r="I148" s="26" t="s">
        <v>110</v>
      </c>
      <c r="J148" s="26" t="s">
        <v>110</v>
      </c>
      <c r="K148" s="26">
        <v>24012</v>
      </c>
      <c r="L148" s="31" t="s">
        <v>2389</v>
      </c>
      <c r="M148" s="26">
        <v>2565</v>
      </c>
      <c r="N148" s="31" t="s">
        <v>588</v>
      </c>
      <c r="O148" s="26">
        <v>5541302269</v>
      </c>
      <c r="P148" s="29" t="s">
        <v>2177</v>
      </c>
      <c r="Q148" s="31" t="s">
        <v>11</v>
      </c>
      <c r="R148" s="26" t="s">
        <v>2211</v>
      </c>
      <c r="S148" s="31" t="s">
        <v>2214</v>
      </c>
      <c r="T148" s="26" t="s">
        <v>19</v>
      </c>
      <c r="U148" s="31" t="s">
        <v>2253</v>
      </c>
      <c r="V148" s="31" t="s">
        <v>598</v>
      </c>
      <c r="W148" s="31" t="s">
        <v>599</v>
      </c>
      <c r="X148" s="31" t="s">
        <v>532</v>
      </c>
      <c r="Y148" s="31">
        <v>1430</v>
      </c>
      <c r="Z148" s="31" t="s">
        <v>57</v>
      </c>
      <c r="AA148" s="31" t="s">
        <v>57</v>
      </c>
      <c r="AB148" s="31" t="s">
        <v>600</v>
      </c>
      <c r="AC148" s="31">
        <v>5556434162</v>
      </c>
      <c r="AD148" s="31">
        <v>5556433310</v>
      </c>
    </row>
    <row r="149" spans="1:30" x14ac:dyDescent="0.2">
      <c r="A149" s="26">
        <v>11339</v>
      </c>
      <c r="B149" s="26">
        <f>VLOOKUP(A149,Hoja1!A:A,1,FALSE)</f>
        <v>11339</v>
      </c>
      <c r="C149" s="27" t="s">
        <v>1995</v>
      </c>
      <c r="D149" s="32" t="s">
        <v>488</v>
      </c>
      <c r="E149" s="29" t="s">
        <v>10</v>
      </c>
      <c r="F149" s="29" t="s">
        <v>10</v>
      </c>
      <c r="G149" s="30">
        <v>36900</v>
      </c>
      <c r="H149" s="26" t="s">
        <v>49</v>
      </c>
      <c r="I149" s="26" t="s">
        <v>110</v>
      </c>
      <c r="J149" s="26" t="s">
        <v>110</v>
      </c>
      <c r="K149" s="26">
        <v>19810</v>
      </c>
      <c r="L149" s="31" t="s">
        <v>2390</v>
      </c>
      <c r="M149" s="26">
        <v>2565</v>
      </c>
      <c r="N149" s="31" t="s">
        <v>588</v>
      </c>
      <c r="O149" s="26">
        <v>5541302269</v>
      </c>
      <c r="P149" s="29" t="s">
        <v>2177</v>
      </c>
      <c r="Q149" s="31" t="s">
        <v>11</v>
      </c>
      <c r="R149" s="26" t="s">
        <v>2211</v>
      </c>
      <c r="S149" s="31" t="s">
        <v>2214</v>
      </c>
      <c r="T149" s="26" t="s">
        <v>19</v>
      </c>
      <c r="U149" s="31" t="s">
        <v>2253</v>
      </c>
      <c r="V149" s="31" t="s">
        <v>601</v>
      </c>
      <c r="W149" s="31" t="s">
        <v>602</v>
      </c>
      <c r="X149" s="31" t="s">
        <v>532</v>
      </c>
      <c r="Y149" s="31">
        <v>1280</v>
      </c>
      <c r="Z149" s="31" t="s">
        <v>57</v>
      </c>
      <c r="AA149" s="31" t="s">
        <v>57</v>
      </c>
      <c r="AB149" s="31" t="s">
        <v>603</v>
      </c>
      <c r="AC149" s="31">
        <v>5556153880</v>
      </c>
      <c r="AD149" s="31">
        <v>5555639292</v>
      </c>
    </row>
    <row r="150" spans="1:30" x14ac:dyDescent="0.2">
      <c r="A150" s="26">
        <v>11578</v>
      </c>
      <c r="B150" s="26">
        <f>VLOOKUP(A150,Hoja1!A:A,1,FALSE)</f>
        <v>11578</v>
      </c>
      <c r="C150" s="27" t="s">
        <v>1996</v>
      </c>
      <c r="D150" s="32" t="s">
        <v>488</v>
      </c>
      <c r="E150" s="29" t="s">
        <v>10</v>
      </c>
      <c r="F150" s="29" t="s">
        <v>10</v>
      </c>
      <c r="G150" s="30">
        <v>42322</v>
      </c>
      <c r="H150" s="26" t="s">
        <v>49</v>
      </c>
      <c r="I150" s="26" t="s">
        <v>110</v>
      </c>
      <c r="J150" s="26" t="s">
        <v>110</v>
      </c>
      <c r="K150" s="26">
        <v>18038</v>
      </c>
      <c r="L150" s="31" t="s">
        <v>2391</v>
      </c>
      <c r="M150" s="26">
        <v>2565</v>
      </c>
      <c r="N150" s="31" t="s">
        <v>588</v>
      </c>
      <c r="O150" s="26">
        <v>5541302269</v>
      </c>
      <c r="P150" s="29" t="s">
        <v>2177</v>
      </c>
      <c r="Q150" s="31" t="s">
        <v>11</v>
      </c>
      <c r="R150" s="26" t="s">
        <v>2211</v>
      </c>
      <c r="S150" s="31" t="s">
        <v>2214</v>
      </c>
      <c r="T150" s="26" t="s">
        <v>19</v>
      </c>
      <c r="U150" s="31" t="s">
        <v>2253</v>
      </c>
      <c r="V150" s="31" t="s">
        <v>604</v>
      </c>
      <c r="W150" s="31" t="s">
        <v>605</v>
      </c>
      <c r="X150" s="31" t="s">
        <v>532</v>
      </c>
      <c r="Y150" s="31">
        <v>1480</v>
      </c>
      <c r="Z150" s="31" t="s">
        <v>57</v>
      </c>
      <c r="AA150" s="31" t="s">
        <v>57</v>
      </c>
      <c r="AB150" s="31" t="s">
        <v>606</v>
      </c>
      <c r="AC150" s="31">
        <v>5556514530</v>
      </c>
      <c r="AD150" s="31">
        <v>5556514530</v>
      </c>
    </row>
    <row r="151" spans="1:30" x14ac:dyDescent="0.2">
      <c r="A151" s="26">
        <v>11634</v>
      </c>
      <c r="B151" s="26">
        <f>VLOOKUP(A151,Hoja1!A:A,1,FALSE)</f>
        <v>11634</v>
      </c>
      <c r="C151" s="27" t="s">
        <v>1997</v>
      </c>
      <c r="D151" s="32" t="s">
        <v>488</v>
      </c>
      <c r="E151" s="29" t="s">
        <v>10</v>
      </c>
      <c r="F151" s="29" t="s">
        <v>10</v>
      </c>
      <c r="G151" s="30">
        <v>43028</v>
      </c>
      <c r="H151" s="26" t="s">
        <v>49</v>
      </c>
      <c r="I151" s="26" t="s">
        <v>110</v>
      </c>
      <c r="J151" s="26" t="s">
        <v>110</v>
      </c>
      <c r="K151" s="26">
        <v>19549</v>
      </c>
      <c r="L151" s="31" t="s">
        <v>2392</v>
      </c>
      <c r="M151" s="26">
        <v>2565</v>
      </c>
      <c r="N151" s="31" t="s">
        <v>588</v>
      </c>
      <c r="O151" s="26">
        <v>5541302269</v>
      </c>
      <c r="P151" s="29" t="s">
        <v>2177</v>
      </c>
      <c r="Q151" s="31" t="s">
        <v>11</v>
      </c>
      <c r="R151" s="26" t="s">
        <v>2211</v>
      </c>
      <c r="S151" s="31" t="s">
        <v>2214</v>
      </c>
      <c r="T151" s="26" t="s">
        <v>19</v>
      </c>
      <c r="U151" s="31" t="s">
        <v>2253</v>
      </c>
      <c r="V151" s="31" t="s">
        <v>607</v>
      </c>
      <c r="W151" s="31" t="s">
        <v>608</v>
      </c>
      <c r="X151" s="31" t="s">
        <v>532</v>
      </c>
      <c r="Y151" s="31">
        <v>1618</v>
      </c>
      <c r="Z151" s="31" t="s">
        <v>57</v>
      </c>
      <c r="AA151" s="31" t="s">
        <v>57</v>
      </c>
      <c r="AB151" s="31" t="s">
        <v>609</v>
      </c>
      <c r="AC151" s="31">
        <v>5556376006</v>
      </c>
      <c r="AD151" s="31">
        <v>5556376006</v>
      </c>
    </row>
    <row r="152" spans="1:30" x14ac:dyDescent="0.2">
      <c r="A152" s="26">
        <v>11913</v>
      </c>
      <c r="B152" s="26">
        <f>VLOOKUP(A152,Hoja1!A:A,1,FALSE)</f>
        <v>11913</v>
      </c>
      <c r="C152" s="27" t="s">
        <v>1998</v>
      </c>
      <c r="D152" s="32" t="s">
        <v>488</v>
      </c>
      <c r="E152" s="29" t="s">
        <v>10</v>
      </c>
      <c r="F152" s="29" t="s">
        <v>10</v>
      </c>
      <c r="G152" s="30">
        <v>40118</v>
      </c>
      <c r="H152" s="26" t="s">
        <v>49</v>
      </c>
      <c r="I152" s="26" t="s">
        <v>110</v>
      </c>
      <c r="J152" s="26" t="s">
        <v>87</v>
      </c>
      <c r="K152" s="26">
        <v>68287</v>
      </c>
      <c r="L152" s="31" t="s">
        <v>2393</v>
      </c>
      <c r="M152" s="26">
        <v>2565</v>
      </c>
      <c r="N152" s="31" t="s">
        <v>588</v>
      </c>
      <c r="O152" s="26">
        <v>5541302269</v>
      </c>
      <c r="P152" s="29" t="s">
        <v>2177</v>
      </c>
      <c r="Q152" s="31" t="s">
        <v>11</v>
      </c>
      <c r="R152" s="26" t="s">
        <v>2211</v>
      </c>
      <c r="S152" s="31" t="s">
        <v>2214</v>
      </c>
      <c r="T152" s="26" t="s">
        <v>19</v>
      </c>
      <c r="U152" s="31" t="s">
        <v>2253</v>
      </c>
      <c r="V152" s="31" t="s">
        <v>610</v>
      </c>
      <c r="W152" s="31" t="s">
        <v>593</v>
      </c>
      <c r="X152" s="31" t="s">
        <v>56</v>
      </c>
      <c r="Y152" s="31">
        <v>3810</v>
      </c>
      <c r="Z152" s="31" t="s">
        <v>57</v>
      </c>
      <c r="AA152" s="31" t="s">
        <v>57</v>
      </c>
      <c r="AB152" s="31" t="s">
        <v>611</v>
      </c>
      <c r="AC152" s="31">
        <v>5555364945</v>
      </c>
      <c r="AD152" s="31">
        <v>5555365366</v>
      </c>
    </row>
    <row r="153" spans="1:30" x14ac:dyDescent="0.2">
      <c r="A153" s="26">
        <v>11977</v>
      </c>
      <c r="B153" s="26">
        <f>VLOOKUP(A153,Hoja1!A:A,1,FALSE)</f>
        <v>11977</v>
      </c>
      <c r="C153" s="27" t="s">
        <v>1999</v>
      </c>
      <c r="D153" s="32" t="s">
        <v>488</v>
      </c>
      <c r="E153" s="29" t="s">
        <v>10</v>
      </c>
      <c r="F153" s="29" t="s">
        <v>10</v>
      </c>
      <c r="G153" s="30">
        <v>42825</v>
      </c>
      <c r="H153" s="26" t="s">
        <v>49</v>
      </c>
      <c r="I153" s="26" t="s">
        <v>50</v>
      </c>
      <c r="J153" s="26" t="s">
        <v>153</v>
      </c>
      <c r="K153" s="26">
        <v>82995</v>
      </c>
      <c r="L153" s="31" t="s">
        <v>2394</v>
      </c>
      <c r="M153" s="26">
        <v>2565</v>
      </c>
      <c r="N153" s="31" t="s">
        <v>588</v>
      </c>
      <c r="O153" s="26">
        <v>5541302269</v>
      </c>
      <c r="P153" s="29" t="s">
        <v>2177</v>
      </c>
      <c r="Q153" s="31" t="s">
        <v>11</v>
      </c>
      <c r="R153" s="26" t="s">
        <v>2211</v>
      </c>
      <c r="S153" s="31" t="s">
        <v>2214</v>
      </c>
      <c r="T153" s="26" t="s">
        <v>19</v>
      </c>
      <c r="U153" s="31" t="s">
        <v>2253</v>
      </c>
      <c r="V153" s="31" t="s">
        <v>612</v>
      </c>
      <c r="W153" s="31" t="s">
        <v>613</v>
      </c>
      <c r="X153" s="31" t="s">
        <v>532</v>
      </c>
      <c r="Y153" s="31">
        <v>1040</v>
      </c>
      <c r="Z153" s="31" t="s">
        <v>57</v>
      </c>
      <c r="AA153" s="31" t="s">
        <v>57</v>
      </c>
      <c r="AB153" s="31" t="s">
        <v>614</v>
      </c>
      <c r="AC153" s="31">
        <v>5521556169</v>
      </c>
      <c r="AD153" s="31">
        <v>5521556169</v>
      </c>
    </row>
    <row r="154" spans="1:30" x14ac:dyDescent="0.2">
      <c r="A154" s="26">
        <v>12319</v>
      </c>
      <c r="B154" s="26">
        <f>VLOOKUP(A154,Hoja1!A:A,1,FALSE)</f>
        <v>12319</v>
      </c>
      <c r="C154" s="27" t="s">
        <v>2000</v>
      </c>
      <c r="D154" s="32" t="s">
        <v>488</v>
      </c>
      <c r="E154" s="29" t="s">
        <v>10</v>
      </c>
      <c r="F154" s="29" t="s">
        <v>10</v>
      </c>
      <c r="G154" s="30">
        <v>43347</v>
      </c>
      <c r="H154" s="26" t="s">
        <v>49</v>
      </c>
      <c r="I154" s="26" t="s">
        <v>110</v>
      </c>
      <c r="J154" s="26" t="s">
        <v>110</v>
      </c>
      <c r="K154" s="26">
        <v>14695</v>
      </c>
      <c r="L154" s="31" t="s">
        <v>2395</v>
      </c>
      <c r="M154" s="26">
        <v>2565</v>
      </c>
      <c r="N154" s="31" t="s">
        <v>588</v>
      </c>
      <c r="O154" s="26">
        <v>5541302269</v>
      </c>
      <c r="P154" s="29" t="s">
        <v>2177</v>
      </c>
      <c r="Q154" s="31" t="s">
        <v>11</v>
      </c>
      <c r="R154" s="26" t="s">
        <v>2211</v>
      </c>
      <c r="S154" s="31" t="s">
        <v>2214</v>
      </c>
      <c r="T154" s="26" t="s">
        <v>19</v>
      </c>
      <c r="U154" s="31" t="s">
        <v>2253</v>
      </c>
      <c r="V154" s="31" t="s">
        <v>615</v>
      </c>
      <c r="W154" s="31" t="s">
        <v>616</v>
      </c>
      <c r="X154" s="31" t="s">
        <v>532</v>
      </c>
      <c r="Y154" s="31">
        <v>1180</v>
      </c>
      <c r="Z154" s="31" t="s">
        <v>57</v>
      </c>
      <c r="AA154" s="31" t="s">
        <v>57</v>
      </c>
      <c r="AB154" s="31" t="s">
        <v>617</v>
      </c>
      <c r="AC154" s="31">
        <v>5514544535</v>
      </c>
      <c r="AD154" s="31">
        <v>5514544535</v>
      </c>
    </row>
    <row r="155" spans="1:30" x14ac:dyDescent="0.2">
      <c r="A155" s="26">
        <v>11062</v>
      </c>
      <c r="B155" s="26">
        <f>VLOOKUP(A155,Hoja1!A:A,1,FALSE)</f>
        <v>11062</v>
      </c>
      <c r="C155" s="27" t="s">
        <v>1983</v>
      </c>
      <c r="D155" s="32" t="s">
        <v>488</v>
      </c>
      <c r="E155" s="29" t="s">
        <v>10</v>
      </c>
      <c r="F155" s="29" t="s">
        <v>10</v>
      </c>
      <c r="G155" s="30">
        <v>33718</v>
      </c>
      <c r="H155" s="26" t="s">
        <v>49</v>
      </c>
      <c r="I155" s="26" t="s">
        <v>110</v>
      </c>
      <c r="J155" s="26" t="s">
        <v>110</v>
      </c>
      <c r="K155" s="26">
        <v>43448</v>
      </c>
      <c r="L155" s="31" t="s">
        <v>2375</v>
      </c>
      <c r="M155" s="26">
        <v>5759</v>
      </c>
      <c r="N155" s="31" t="s">
        <v>618</v>
      </c>
      <c r="O155" s="26">
        <v>5561223018</v>
      </c>
      <c r="P155" s="29" t="s">
        <v>2176</v>
      </c>
      <c r="Q155" s="31" t="s">
        <v>11</v>
      </c>
      <c r="R155" s="26" t="s">
        <v>2211</v>
      </c>
      <c r="S155" s="31" t="s">
        <v>2214</v>
      </c>
      <c r="T155" s="26" t="s">
        <v>19</v>
      </c>
      <c r="U155" s="31" t="s">
        <v>2253</v>
      </c>
      <c r="V155" s="31" t="s">
        <v>556</v>
      </c>
      <c r="W155" s="31" t="s">
        <v>557</v>
      </c>
      <c r="X155" s="31" t="s">
        <v>75</v>
      </c>
      <c r="Y155" s="31">
        <v>14350</v>
      </c>
      <c r="Z155" s="31" t="s">
        <v>57</v>
      </c>
      <c r="AA155" s="31" t="s">
        <v>57</v>
      </c>
      <c r="AB155" s="31" t="s">
        <v>558</v>
      </c>
      <c r="AC155" s="31">
        <v>5563858528</v>
      </c>
      <c r="AD155" s="31">
        <v>5556735507</v>
      </c>
    </row>
    <row r="156" spans="1:30" x14ac:dyDescent="0.2">
      <c r="A156" s="26">
        <v>11098</v>
      </c>
      <c r="B156" s="26">
        <f>VLOOKUP(A156,Hoja1!A:A,1,FALSE)</f>
        <v>11098</v>
      </c>
      <c r="C156" s="27" t="s">
        <v>1984</v>
      </c>
      <c r="D156" s="32" t="s">
        <v>488</v>
      </c>
      <c r="E156" s="29" t="s">
        <v>10</v>
      </c>
      <c r="F156" s="29" t="s">
        <v>10</v>
      </c>
      <c r="G156" s="30">
        <v>34162</v>
      </c>
      <c r="H156" s="26" t="s">
        <v>49</v>
      </c>
      <c r="I156" s="26" t="s">
        <v>110</v>
      </c>
      <c r="J156" s="26" t="s">
        <v>110</v>
      </c>
      <c r="K156" s="26">
        <v>35941</v>
      </c>
      <c r="L156" s="31" t="s">
        <v>2376</v>
      </c>
      <c r="M156" s="26">
        <v>5759</v>
      </c>
      <c r="N156" s="31" t="s">
        <v>618</v>
      </c>
      <c r="O156" s="26">
        <v>5561223018</v>
      </c>
      <c r="P156" s="29" t="s">
        <v>2176</v>
      </c>
      <c r="Q156" s="31" t="s">
        <v>11</v>
      </c>
      <c r="R156" s="26" t="s">
        <v>2211</v>
      </c>
      <c r="S156" s="31" t="s">
        <v>2214</v>
      </c>
      <c r="T156" s="26" t="s">
        <v>19</v>
      </c>
      <c r="U156" s="31" t="s">
        <v>2253</v>
      </c>
      <c r="V156" s="31" t="s">
        <v>559</v>
      </c>
      <c r="W156" s="31" t="s">
        <v>560</v>
      </c>
      <c r="X156" s="31" t="s">
        <v>75</v>
      </c>
      <c r="Y156" s="31">
        <v>4737</v>
      </c>
      <c r="Z156" s="31" t="s">
        <v>57</v>
      </c>
      <c r="AA156" s="31" t="s">
        <v>57</v>
      </c>
      <c r="AB156" s="31" t="s">
        <v>561</v>
      </c>
      <c r="AC156" s="31">
        <v>5554244680</v>
      </c>
      <c r="AD156" s="31">
        <v>5555282580</v>
      </c>
    </row>
    <row r="157" spans="1:30" x14ac:dyDescent="0.2">
      <c r="A157" s="26">
        <v>11140</v>
      </c>
      <c r="B157" s="26">
        <f>VLOOKUP(A157,Hoja1!A:A,1,FALSE)</f>
        <v>11140</v>
      </c>
      <c r="C157" s="27" t="s">
        <v>1985</v>
      </c>
      <c r="D157" s="32" t="s">
        <v>488</v>
      </c>
      <c r="E157" s="29" t="s">
        <v>10</v>
      </c>
      <c r="F157" s="29" t="s">
        <v>10</v>
      </c>
      <c r="G157" s="30">
        <v>35183</v>
      </c>
      <c r="H157" s="26" t="s">
        <v>49</v>
      </c>
      <c r="I157" s="26" t="s">
        <v>110</v>
      </c>
      <c r="J157" s="26" t="s">
        <v>110</v>
      </c>
      <c r="K157" s="26">
        <v>12174</v>
      </c>
      <c r="L157" s="31" t="s">
        <v>2377</v>
      </c>
      <c r="M157" s="26">
        <v>5759</v>
      </c>
      <c r="N157" s="31" t="s">
        <v>618</v>
      </c>
      <c r="O157" s="26">
        <v>5561223018</v>
      </c>
      <c r="P157" s="29" t="s">
        <v>2176</v>
      </c>
      <c r="Q157" s="31" t="s">
        <v>11</v>
      </c>
      <c r="R157" s="26" t="s">
        <v>2211</v>
      </c>
      <c r="S157" s="31" t="s">
        <v>2214</v>
      </c>
      <c r="T157" s="26" t="s">
        <v>19</v>
      </c>
      <c r="U157" s="31" t="s">
        <v>2253</v>
      </c>
      <c r="V157" s="31" t="s">
        <v>562</v>
      </c>
      <c r="W157" s="31" t="s">
        <v>563</v>
      </c>
      <c r="X157" s="31" t="s">
        <v>564</v>
      </c>
      <c r="Y157" s="31">
        <v>16020</v>
      </c>
      <c r="Z157" s="31" t="s">
        <v>57</v>
      </c>
      <c r="AA157" s="31" t="s">
        <v>57</v>
      </c>
      <c r="AB157" s="31" t="s">
        <v>565</v>
      </c>
      <c r="AC157" s="31">
        <v>5556764071</v>
      </c>
      <c r="AD157" s="31">
        <v>5556761566</v>
      </c>
    </row>
    <row r="158" spans="1:30" x14ac:dyDescent="0.2">
      <c r="A158" s="26">
        <v>11174</v>
      </c>
      <c r="B158" s="26">
        <f>VLOOKUP(A158,Hoja1!A:A,1,FALSE)</f>
        <v>11174</v>
      </c>
      <c r="C158" s="27" t="s">
        <v>406</v>
      </c>
      <c r="D158" s="32" t="s">
        <v>488</v>
      </c>
      <c r="E158" s="29" t="s">
        <v>10</v>
      </c>
      <c r="F158" s="29" t="s">
        <v>10</v>
      </c>
      <c r="G158" s="30">
        <v>35877</v>
      </c>
      <c r="H158" s="26" t="s">
        <v>49</v>
      </c>
      <c r="I158" s="26" t="s">
        <v>110</v>
      </c>
      <c r="J158" s="26" t="s">
        <v>110</v>
      </c>
      <c r="K158" s="26">
        <v>131987</v>
      </c>
      <c r="L158" s="31" t="s">
        <v>2378</v>
      </c>
      <c r="M158" s="26">
        <v>5759</v>
      </c>
      <c r="N158" s="31" t="s">
        <v>618</v>
      </c>
      <c r="O158" s="26">
        <v>5561223018</v>
      </c>
      <c r="P158" s="29" t="s">
        <v>2176</v>
      </c>
      <c r="Q158" s="31" t="s">
        <v>11</v>
      </c>
      <c r="R158" s="26" t="s">
        <v>2211</v>
      </c>
      <c r="S158" s="31" t="s">
        <v>2214</v>
      </c>
      <c r="T158" s="26" t="s">
        <v>19</v>
      </c>
      <c r="U158" s="31" t="s">
        <v>2253</v>
      </c>
      <c r="V158" s="31" t="s">
        <v>566</v>
      </c>
      <c r="W158" s="31" t="s">
        <v>567</v>
      </c>
      <c r="X158" s="31" t="s">
        <v>406</v>
      </c>
      <c r="Y158" s="31">
        <v>9070</v>
      </c>
      <c r="Z158" s="31" t="s">
        <v>57</v>
      </c>
      <c r="AA158" s="31" t="s">
        <v>57</v>
      </c>
      <c r="AB158" s="31" t="s">
        <v>568</v>
      </c>
      <c r="AC158" s="31">
        <v>5556976984</v>
      </c>
      <c r="AD158" s="31">
        <v>5556976888</v>
      </c>
    </row>
    <row r="159" spans="1:30" x14ac:dyDescent="0.2">
      <c r="A159" s="26">
        <v>11199</v>
      </c>
      <c r="B159" s="26">
        <f>VLOOKUP(A159,Hoja1!A:A,1,FALSE)</f>
        <v>11199</v>
      </c>
      <c r="C159" s="27" t="s">
        <v>564</v>
      </c>
      <c r="D159" s="32" t="s">
        <v>488</v>
      </c>
      <c r="E159" s="29" t="s">
        <v>10</v>
      </c>
      <c r="F159" s="29" t="s">
        <v>10</v>
      </c>
      <c r="G159" s="30">
        <v>36076</v>
      </c>
      <c r="H159" s="26" t="s">
        <v>49</v>
      </c>
      <c r="I159" s="26" t="s">
        <v>110</v>
      </c>
      <c r="J159" s="26" t="s">
        <v>110</v>
      </c>
      <c r="K159" s="26">
        <v>12674</v>
      </c>
      <c r="L159" s="31" t="s">
        <v>2379</v>
      </c>
      <c r="M159" s="26">
        <v>5759</v>
      </c>
      <c r="N159" s="31" t="s">
        <v>618</v>
      </c>
      <c r="O159" s="26">
        <v>5561223018</v>
      </c>
      <c r="P159" s="29" t="s">
        <v>2176</v>
      </c>
      <c r="Q159" s="31" t="s">
        <v>11</v>
      </c>
      <c r="R159" s="26" t="s">
        <v>2211</v>
      </c>
      <c r="S159" s="31" t="s">
        <v>2214</v>
      </c>
      <c r="T159" s="26" t="s">
        <v>19</v>
      </c>
      <c r="U159" s="31" t="s">
        <v>2253</v>
      </c>
      <c r="V159" s="31" t="s">
        <v>569</v>
      </c>
      <c r="W159" s="31" t="s">
        <v>570</v>
      </c>
      <c r="X159" s="31" t="s">
        <v>564</v>
      </c>
      <c r="Y159" s="31">
        <v>16000</v>
      </c>
      <c r="Z159" s="31" t="s">
        <v>57</v>
      </c>
      <c r="AA159" s="31" t="s">
        <v>57</v>
      </c>
      <c r="AB159" s="31" t="s">
        <v>571</v>
      </c>
      <c r="AC159" s="31">
        <v>5576775490</v>
      </c>
      <c r="AD159" s="31">
        <v>5556755375</v>
      </c>
    </row>
    <row r="160" spans="1:30" x14ac:dyDescent="0.2">
      <c r="A160" s="26">
        <v>11583</v>
      </c>
      <c r="B160" s="26">
        <f>VLOOKUP(A160,Hoja1!A:A,1,FALSE)</f>
        <v>11583</v>
      </c>
      <c r="C160" s="27" t="s">
        <v>1986</v>
      </c>
      <c r="D160" s="32" t="s">
        <v>488</v>
      </c>
      <c r="E160" s="29" t="s">
        <v>10</v>
      </c>
      <c r="F160" s="29" t="s">
        <v>10</v>
      </c>
      <c r="G160" s="30">
        <v>42351</v>
      </c>
      <c r="H160" s="26" t="s">
        <v>49</v>
      </c>
      <c r="I160" s="26" t="s">
        <v>110</v>
      </c>
      <c r="J160" s="26" t="s">
        <v>110</v>
      </c>
      <c r="K160" s="26">
        <v>35940</v>
      </c>
      <c r="L160" s="31" t="s">
        <v>2380</v>
      </c>
      <c r="M160" s="26">
        <v>5759</v>
      </c>
      <c r="N160" s="31" t="s">
        <v>618</v>
      </c>
      <c r="O160" s="26">
        <v>5561223018</v>
      </c>
      <c r="P160" s="29" t="s">
        <v>2176</v>
      </c>
      <c r="Q160" s="31" t="s">
        <v>11</v>
      </c>
      <c r="R160" s="26" t="s">
        <v>2211</v>
      </c>
      <c r="S160" s="31" t="s">
        <v>2214</v>
      </c>
      <c r="T160" s="26" t="s">
        <v>19</v>
      </c>
      <c r="U160" s="31" t="s">
        <v>2253</v>
      </c>
      <c r="V160" s="31" t="s">
        <v>572</v>
      </c>
      <c r="W160" s="31" t="s">
        <v>573</v>
      </c>
      <c r="X160" s="31" t="s">
        <v>406</v>
      </c>
      <c r="Y160" s="31">
        <v>9830</v>
      </c>
      <c r="Z160" s="31" t="s">
        <v>57</v>
      </c>
      <c r="AA160" s="31" t="s">
        <v>57</v>
      </c>
      <c r="AB160" s="31" t="s">
        <v>574</v>
      </c>
      <c r="AC160" s="31">
        <v>5556131311</v>
      </c>
      <c r="AD160" s="31">
        <v>5556131311</v>
      </c>
    </row>
    <row r="161" spans="1:30" x14ac:dyDescent="0.2">
      <c r="A161" s="26">
        <v>11743</v>
      </c>
      <c r="B161" s="26">
        <f>VLOOKUP(A161,Hoja1!A:A,1,FALSE)</f>
        <v>11743</v>
      </c>
      <c r="C161" s="27" t="s">
        <v>1987</v>
      </c>
      <c r="D161" s="32" t="s">
        <v>488</v>
      </c>
      <c r="E161" s="29" t="s">
        <v>10</v>
      </c>
      <c r="F161" s="29" t="s">
        <v>10</v>
      </c>
      <c r="G161" s="30">
        <v>35463</v>
      </c>
      <c r="H161" s="26" t="s">
        <v>49</v>
      </c>
      <c r="I161" s="26" t="s">
        <v>50</v>
      </c>
      <c r="J161" s="26" t="s">
        <v>153</v>
      </c>
      <c r="K161" s="26">
        <v>25441</v>
      </c>
      <c r="L161" s="31" t="s">
        <v>2381</v>
      </c>
      <c r="M161" s="26">
        <v>5759</v>
      </c>
      <c r="N161" s="31" t="s">
        <v>618</v>
      </c>
      <c r="O161" s="26">
        <v>5561223018</v>
      </c>
      <c r="P161" s="29" t="s">
        <v>2176</v>
      </c>
      <c r="Q161" s="31" t="s">
        <v>11</v>
      </c>
      <c r="R161" s="26" t="s">
        <v>2211</v>
      </c>
      <c r="S161" s="31" t="s">
        <v>2214</v>
      </c>
      <c r="T161" s="26" t="s">
        <v>19</v>
      </c>
      <c r="U161" s="31" t="s">
        <v>2253</v>
      </c>
      <c r="V161" s="31" t="s">
        <v>575</v>
      </c>
      <c r="W161" s="31" t="s">
        <v>576</v>
      </c>
      <c r="X161" s="31" t="s">
        <v>577</v>
      </c>
      <c r="Y161" s="31">
        <v>9790</v>
      </c>
      <c r="Z161" s="31" t="s">
        <v>57</v>
      </c>
      <c r="AA161" s="31" t="s">
        <v>57</v>
      </c>
      <c r="AB161" s="31" t="s">
        <v>578</v>
      </c>
      <c r="AC161" s="31">
        <v>5558408031</v>
      </c>
      <c r="AD161" s="31">
        <v>5558408031</v>
      </c>
    </row>
    <row r="162" spans="1:30" x14ac:dyDescent="0.2">
      <c r="A162" s="26">
        <v>11828</v>
      </c>
      <c r="B162" s="26">
        <f>VLOOKUP(A162,Hoja1!A:A,1,FALSE)</f>
        <v>11828</v>
      </c>
      <c r="C162" s="27" t="s">
        <v>1988</v>
      </c>
      <c r="D162" s="32" t="s">
        <v>488</v>
      </c>
      <c r="E162" s="29" t="s">
        <v>10</v>
      </c>
      <c r="F162" s="29" t="s">
        <v>10</v>
      </c>
      <c r="G162" s="30">
        <v>37184</v>
      </c>
      <c r="H162" s="26" t="s">
        <v>49</v>
      </c>
      <c r="I162" s="26" t="s">
        <v>50</v>
      </c>
      <c r="J162" s="26" t="s">
        <v>153</v>
      </c>
      <c r="K162" s="26">
        <v>12376</v>
      </c>
      <c r="L162" s="31" t="s">
        <v>2382</v>
      </c>
      <c r="M162" s="26">
        <v>5759</v>
      </c>
      <c r="N162" s="31" t="s">
        <v>618</v>
      </c>
      <c r="O162" s="26">
        <v>5561223018</v>
      </c>
      <c r="P162" s="29" t="s">
        <v>2176</v>
      </c>
      <c r="Q162" s="31" t="s">
        <v>11</v>
      </c>
      <c r="R162" s="26" t="s">
        <v>2211</v>
      </c>
      <c r="S162" s="31" t="s">
        <v>2214</v>
      </c>
      <c r="T162" s="26" t="s">
        <v>19</v>
      </c>
      <c r="U162" s="31" t="s">
        <v>2253</v>
      </c>
      <c r="V162" s="31" t="s">
        <v>579</v>
      </c>
      <c r="W162" s="31" t="s">
        <v>580</v>
      </c>
      <c r="X162" s="31" t="s">
        <v>75</v>
      </c>
      <c r="Y162" s="31">
        <v>4500</v>
      </c>
      <c r="Z162" s="31" t="s">
        <v>57</v>
      </c>
      <c r="AA162" s="31" t="s">
        <v>57</v>
      </c>
      <c r="AB162" s="31" t="s">
        <v>581</v>
      </c>
      <c r="AC162" s="31">
        <v>5554242532</v>
      </c>
      <c r="AD162" s="31">
        <v>5554242532</v>
      </c>
    </row>
    <row r="163" spans="1:30" x14ac:dyDescent="0.2">
      <c r="A163" s="26">
        <v>11944</v>
      </c>
      <c r="B163" s="26">
        <f>VLOOKUP(A163,Hoja1!A:A,1,FALSE)</f>
        <v>11944</v>
      </c>
      <c r="C163" s="27" t="s">
        <v>1989</v>
      </c>
      <c r="D163" s="32" t="s">
        <v>488</v>
      </c>
      <c r="E163" s="29" t="s">
        <v>10</v>
      </c>
      <c r="F163" s="29" t="s">
        <v>10</v>
      </c>
      <c r="G163" s="30">
        <v>41833</v>
      </c>
      <c r="H163" s="26" t="s">
        <v>49</v>
      </c>
      <c r="I163" s="26" t="s">
        <v>50</v>
      </c>
      <c r="J163" s="26" t="s">
        <v>153</v>
      </c>
      <c r="K163" s="26">
        <v>25896</v>
      </c>
      <c r="L163" s="31" t="s">
        <v>2383</v>
      </c>
      <c r="M163" s="26">
        <v>5759</v>
      </c>
      <c r="N163" s="31" t="s">
        <v>618</v>
      </c>
      <c r="O163" s="26">
        <v>5561223018</v>
      </c>
      <c r="P163" s="29" t="s">
        <v>2176</v>
      </c>
      <c r="Q163" s="31" t="s">
        <v>11</v>
      </c>
      <c r="R163" s="26" t="s">
        <v>2211</v>
      </c>
      <c r="S163" s="31" t="s">
        <v>2214</v>
      </c>
      <c r="T163" s="26" t="s">
        <v>19</v>
      </c>
      <c r="U163" s="31" t="s">
        <v>2253</v>
      </c>
      <c r="V163" s="31" t="s">
        <v>582</v>
      </c>
      <c r="W163" s="31" t="s">
        <v>583</v>
      </c>
      <c r="X163" s="31" t="s">
        <v>75</v>
      </c>
      <c r="Y163" s="31">
        <v>14340</v>
      </c>
      <c r="Z163" s="31" t="s">
        <v>57</v>
      </c>
      <c r="AA163" s="31" t="s">
        <v>57</v>
      </c>
      <c r="AB163" s="31" t="s">
        <v>584</v>
      </c>
      <c r="AC163" s="31">
        <v>5554130895</v>
      </c>
      <c r="AD163" s="31">
        <v>5556770963</v>
      </c>
    </row>
    <row r="164" spans="1:30" x14ac:dyDescent="0.2">
      <c r="A164" s="26">
        <v>12300</v>
      </c>
      <c r="B164" s="26">
        <f>VLOOKUP(A164,Hoja1!A:A,1,FALSE)</f>
        <v>12300</v>
      </c>
      <c r="C164" s="27" t="s">
        <v>1990</v>
      </c>
      <c r="D164" s="32" t="s">
        <v>488</v>
      </c>
      <c r="E164" s="29" t="s">
        <v>10</v>
      </c>
      <c r="F164" s="29" t="s">
        <v>10</v>
      </c>
      <c r="G164" s="30">
        <v>43181</v>
      </c>
      <c r="H164" s="26" t="s">
        <v>49</v>
      </c>
      <c r="I164" s="26" t="s">
        <v>110</v>
      </c>
      <c r="J164" s="26" t="s">
        <v>110</v>
      </c>
      <c r="K164" s="26">
        <v>131048</v>
      </c>
      <c r="L164" s="31" t="s">
        <v>2384</v>
      </c>
      <c r="M164" s="26">
        <v>5759</v>
      </c>
      <c r="N164" s="31" t="s">
        <v>618</v>
      </c>
      <c r="O164" s="26">
        <v>5561223018</v>
      </c>
      <c r="P164" s="29" t="s">
        <v>2176</v>
      </c>
      <c r="Q164" s="31" t="s">
        <v>11</v>
      </c>
      <c r="R164" s="26" t="s">
        <v>2211</v>
      </c>
      <c r="S164" s="31" t="s">
        <v>2214</v>
      </c>
      <c r="T164" s="26" t="s">
        <v>19</v>
      </c>
      <c r="U164" s="31" t="s">
        <v>2253</v>
      </c>
      <c r="V164" s="31" t="s">
        <v>585</v>
      </c>
      <c r="W164" s="31" t="s">
        <v>586</v>
      </c>
      <c r="X164" s="31" t="s">
        <v>564</v>
      </c>
      <c r="Y164" s="31">
        <v>16090</v>
      </c>
      <c r="Z164" s="31" t="s">
        <v>57</v>
      </c>
      <c r="AA164" s="31" t="s">
        <v>57</v>
      </c>
      <c r="AB164" s="31" t="s">
        <v>587</v>
      </c>
      <c r="AC164" s="31">
        <v>5556415221</v>
      </c>
      <c r="AD164" s="31">
        <v>5556415221</v>
      </c>
    </row>
    <row r="165" spans="1:30" x14ac:dyDescent="0.2">
      <c r="A165" s="15">
        <v>12376</v>
      </c>
      <c r="B165" s="26" t="e">
        <f>VLOOKUP(A165,Hoja1!A:A,1,FALSE)</f>
        <v>#N/A</v>
      </c>
      <c r="C165" s="13" t="s">
        <v>2093</v>
      </c>
      <c r="D165" s="32" t="s">
        <v>488</v>
      </c>
      <c r="E165" s="33" t="s">
        <v>10</v>
      </c>
      <c r="F165" s="33" t="s">
        <v>10</v>
      </c>
      <c r="G165" s="34">
        <v>43766</v>
      </c>
      <c r="H165" s="15" t="s">
        <v>49</v>
      </c>
      <c r="I165" s="15" t="s">
        <v>110</v>
      </c>
      <c r="J165" s="15" t="s">
        <v>110</v>
      </c>
      <c r="K165" s="26">
        <v>68343</v>
      </c>
      <c r="L165" s="31" t="s">
        <v>2385</v>
      </c>
      <c r="M165" s="26">
        <v>5759</v>
      </c>
      <c r="N165" s="31" t="s">
        <v>618</v>
      </c>
      <c r="O165" s="26">
        <v>5561223018</v>
      </c>
      <c r="P165" s="29" t="s">
        <v>2176</v>
      </c>
      <c r="Q165" s="16" t="s">
        <v>11</v>
      </c>
      <c r="R165" s="26" t="s">
        <v>2211</v>
      </c>
      <c r="S165" s="31" t="s">
        <v>2214</v>
      </c>
      <c r="T165" s="26" t="s">
        <v>19</v>
      </c>
      <c r="U165" s="31" t="s">
        <v>2253</v>
      </c>
      <c r="V165" s="16" t="s">
        <v>2151</v>
      </c>
      <c r="W165" s="31" t="s">
        <v>2095</v>
      </c>
      <c r="X165" s="31" t="s">
        <v>406</v>
      </c>
      <c r="Y165" s="31">
        <v>9810</v>
      </c>
      <c r="Z165" s="31" t="s">
        <v>57</v>
      </c>
      <c r="AA165" s="31" t="s">
        <v>57</v>
      </c>
      <c r="AB165" s="31" t="s">
        <v>2096</v>
      </c>
      <c r="AC165" s="31">
        <v>5544380072</v>
      </c>
      <c r="AD165" s="31">
        <v>5544380072</v>
      </c>
    </row>
    <row r="166" spans="1:30" x14ac:dyDescent="0.2">
      <c r="A166" s="26">
        <v>11004</v>
      </c>
      <c r="B166" s="26">
        <f>VLOOKUP(A166,Hoja1!A:A,1,FALSE)</f>
        <v>11004</v>
      </c>
      <c r="C166" s="27" t="s">
        <v>620</v>
      </c>
      <c r="D166" s="32" t="s">
        <v>488</v>
      </c>
      <c r="E166" s="29" t="s">
        <v>10</v>
      </c>
      <c r="F166" s="29" t="s">
        <v>10</v>
      </c>
      <c r="G166" s="30">
        <v>33035</v>
      </c>
      <c r="H166" s="26" t="s">
        <v>49</v>
      </c>
      <c r="I166" s="26" t="s">
        <v>110</v>
      </c>
      <c r="J166" s="26" t="s">
        <v>110</v>
      </c>
      <c r="K166" s="26">
        <v>111573</v>
      </c>
      <c r="L166" s="31" t="s">
        <v>2396</v>
      </c>
      <c r="M166" s="26">
        <v>5073</v>
      </c>
      <c r="N166" s="31" t="s">
        <v>646</v>
      </c>
      <c r="O166" s="26">
        <v>5543694924</v>
      </c>
      <c r="P166" s="29" t="s">
        <v>2178</v>
      </c>
      <c r="Q166" s="31" t="s">
        <v>11</v>
      </c>
      <c r="R166" s="26" t="s">
        <v>2211</v>
      </c>
      <c r="S166" s="31" t="s">
        <v>2214</v>
      </c>
      <c r="T166" s="26" t="s">
        <v>19</v>
      </c>
      <c r="U166" s="31" t="s">
        <v>2253</v>
      </c>
      <c r="V166" s="31" t="s">
        <v>619</v>
      </c>
      <c r="W166" s="31" t="s">
        <v>620</v>
      </c>
      <c r="X166" s="31" t="s">
        <v>532</v>
      </c>
      <c r="Y166" s="31">
        <v>1000</v>
      </c>
      <c r="Z166" s="31" t="s">
        <v>57</v>
      </c>
      <c r="AA166" s="31" t="s">
        <v>57</v>
      </c>
      <c r="AB166" s="31" t="s">
        <v>621</v>
      </c>
      <c r="AC166" s="31">
        <v>5556166348</v>
      </c>
      <c r="AD166" s="31">
        <v>5556160111</v>
      </c>
    </row>
    <row r="167" spans="1:30" x14ac:dyDescent="0.2">
      <c r="A167" s="26">
        <v>11022</v>
      </c>
      <c r="B167" s="26">
        <f>VLOOKUP(A167,Hoja1!A:A,1,FALSE)</f>
        <v>11022</v>
      </c>
      <c r="C167" s="27" t="s">
        <v>2001</v>
      </c>
      <c r="D167" s="32" t="s">
        <v>488</v>
      </c>
      <c r="E167" s="29" t="s">
        <v>10</v>
      </c>
      <c r="F167" s="29" t="s">
        <v>10</v>
      </c>
      <c r="G167" s="30">
        <v>33346</v>
      </c>
      <c r="H167" s="26" t="s">
        <v>49</v>
      </c>
      <c r="I167" s="26" t="s">
        <v>110</v>
      </c>
      <c r="J167" s="26" t="s">
        <v>110</v>
      </c>
      <c r="K167" s="26">
        <v>5426</v>
      </c>
      <c r="L167" s="31" t="s">
        <v>2397</v>
      </c>
      <c r="M167" s="26">
        <v>5073</v>
      </c>
      <c r="N167" s="31" t="s">
        <v>646</v>
      </c>
      <c r="O167" s="26">
        <v>5543694924</v>
      </c>
      <c r="P167" s="29" t="s">
        <v>2178</v>
      </c>
      <c r="Q167" s="31" t="s">
        <v>11</v>
      </c>
      <c r="R167" s="26" t="s">
        <v>2211</v>
      </c>
      <c r="S167" s="31" t="s">
        <v>2214</v>
      </c>
      <c r="T167" s="26" t="s">
        <v>19</v>
      </c>
      <c r="U167" s="31" t="s">
        <v>2253</v>
      </c>
      <c r="V167" s="31" t="s">
        <v>622</v>
      </c>
      <c r="W167" s="31" t="s">
        <v>623</v>
      </c>
      <c r="X167" s="31" t="s">
        <v>75</v>
      </c>
      <c r="Y167" s="31">
        <v>1900</v>
      </c>
      <c r="Z167" s="31" t="s">
        <v>57</v>
      </c>
      <c r="AA167" s="31" t="s">
        <v>57</v>
      </c>
      <c r="AB167" s="31" t="s">
        <v>624</v>
      </c>
      <c r="AC167" s="31">
        <v>5576527910</v>
      </c>
      <c r="AD167" s="31">
        <v>5555689599</v>
      </c>
    </row>
    <row r="168" spans="1:30" x14ac:dyDescent="0.2">
      <c r="A168" s="26">
        <v>11066</v>
      </c>
      <c r="B168" s="26">
        <f>VLOOKUP(A168,Hoja1!A:A,1,FALSE)</f>
        <v>11066</v>
      </c>
      <c r="C168" s="27" t="s">
        <v>2002</v>
      </c>
      <c r="D168" s="32" t="s">
        <v>488</v>
      </c>
      <c r="E168" s="29" t="s">
        <v>10</v>
      </c>
      <c r="F168" s="29" t="s">
        <v>10</v>
      </c>
      <c r="G168" s="30">
        <v>33742</v>
      </c>
      <c r="H168" s="26" t="s">
        <v>49</v>
      </c>
      <c r="I168" s="26" t="s">
        <v>110</v>
      </c>
      <c r="J168" s="26" t="s">
        <v>110</v>
      </c>
      <c r="K168" s="26">
        <v>24208</v>
      </c>
      <c r="L168" s="31" t="s">
        <v>2398</v>
      </c>
      <c r="M168" s="26">
        <v>5073</v>
      </c>
      <c r="N168" s="31" t="s">
        <v>646</v>
      </c>
      <c r="O168" s="26">
        <v>5543694924</v>
      </c>
      <c r="P168" s="29" t="s">
        <v>2178</v>
      </c>
      <c r="Q168" s="31" t="s">
        <v>11</v>
      </c>
      <c r="R168" s="26" t="s">
        <v>2211</v>
      </c>
      <c r="S168" s="31" t="s">
        <v>2214</v>
      </c>
      <c r="T168" s="26" t="s">
        <v>19</v>
      </c>
      <c r="U168" s="31" t="s">
        <v>2253</v>
      </c>
      <c r="V168" s="31" t="s">
        <v>625</v>
      </c>
      <c r="W168" s="31" t="s">
        <v>626</v>
      </c>
      <c r="X168" s="31" t="s">
        <v>627</v>
      </c>
      <c r="Y168" s="31">
        <v>10200</v>
      </c>
      <c r="Z168" s="31" t="s">
        <v>57</v>
      </c>
      <c r="AA168" s="31" t="s">
        <v>57</v>
      </c>
      <c r="AB168" s="31" t="s">
        <v>628</v>
      </c>
      <c r="AC168" s="31">
        <v>5556685623</v>
      </c>
      <c r="AD168" s="31">
        <v>5556816646</v>
      </c>
    </row>
    <row r="169" spans="1:30" x14ac:dyDescent="0.2">
      <c r="A169" s="26">
        <v>11124</v>
      </c>
      <c r="B169" s="26">
        <f>VLOOKUP(A169,Hoja1!A:A,1,FALSE)</f>
        <v>11124</v>
      </c>
      <c r="C169" s="27" t="s">
        <v>2003</v>
      </c>
      <c r="D169" s="32" t="s">
        <v>488</v>
      </c>
      <c r="E169" s="29" t="s">
        <v>10</v>
      </c>
      <c r="F169" s="29" t="s">
        <v>10</v>
      </c>
      <c r="G169" s="30">
        <v>34554</v>
      </c>
      <c r="H169" s="26" t="s">
        <v>49</v>
      </c>
      <c r="I169" s="26" t="s">
        <v>110</v>
      </c>
      <c r="J169" s="26" t="s">
        <v>110</v>
      </c>
      <c r="K169" s="26">
        <v>14107</v>
      </c>
      <c r="L169" s="31" t="s">
        <v>2399</v>
      </c>
      <c r="M169" s="26">
        <v>5073</v>
      </c>
      <c r="N169" s="31" t="s">
        <v>646</v>
      </c>
      <c r="O169" s="26">
        <v>5543694924</v>
      </c>
      <c r="P169" s="29" t="s">
        <v>2178</v>
      </c>
      <c r="Q169" s="31" t="s">
        <v>11</v>
      </c>
      <c r="R169" s="26" t="s">
        <v>2211</v>
      </c>
      <c r="S169" s="31" t="s">
        <v>2214</v>
      </c>
      <c r="T169" s="26" t="s">
        <v>19</v>
      </c>
      <c r="U169" s="31" t="s">
        <v>2253</v>
      </c>
      <c r="V169" s="31" t="s">
        <v>629</v>
      </c>
      <c r="W169" s="31" t="s">
        <v>630</v>
      </c>
      <c r="X169" s="31" t="s">
        <v>75</v>
      </c>
      <c r="Y169" s="31">
        <v>14060</v>
      </c>
      <c r="Z169" s="31" t="s">
        <v>57</v>
      </c>
      <c r="AA169" s="31" t="s">
        <v>57</v>
      </c>
      <c r="AB169" s="31" t="s">
        <v>631</v>
      </c>
      <c r="AC169" s="31">
        <v>5554244758</v>
      </c>
      <c r="AD169" s="31">
        <v>5555280412</v>
      </c>
    </row>
    <row r="170" spans="1:30" x14ac:dyDescent="0.2">
      <c r="A170" s="26">
        <v>11126</v>
      </c>
      <c r="B170" s="26">
        <f>VLOOKUP(A170,Hoja1!A:A,1,FALSE)</f>
        <v>11126</v>
      </c>
      <c r="C170" s="27" t="s">
        <v>633</v>
      </c>
      <c r="D170" s="32" t="s">
        <v>488</v>
      </c>
      <c r="E170" s="29" t="s">
        <v>10</v>
      </c>
      <c r="F170" s="29" t="s">
        <v>10</v>
      </c>
      <c r="G170" s="30">
        <v>34610</v>
      </c>
      <c r="H170" s="26" t="s">
        <v>49</v>
      </c>
      <c r="I170" s="26" t="s">
        <v>110</v>
      </c>
      <c r="J170" s="26" t="s">
        <v>110</v>
      </c>
      <c r="K170" s="26">
        <v>18456</v>
      </c>
      <c r="L170" s="31" t="s">
        <v>2400</v>
      </c>
      <c r="M170" s="26">
        <v>5073</v>
      </c>
      <c r="N170" s="31" t="s">
        <v>646</v>
      </c>
      <c r="O170" s="26">
        <v>5543694924</v>
      </c>
      <c r="P170" s="29" t="s">
        <v>2178</v>
      </c>
      <c r="Q170" s="31" t="s">
        <v>11</v>
      </c>
      <c r="R170" s="26" t="s">
        <v>2211</v>
      </c>
      <c r="S170" s="31" t="s">
        <v>2214</v>
      </c>
      <c r="T170" s="26" t="s">
        <v>19</v>
      </c>
      <c r="U170" s="31" t="s">
        <v>2253</v>
      </c>
      <c r="V170" s="31" t="s">
        <v>632</v>
      </c>
      <c r="W170" s="31" t="s">
        <v>633</v>
      </c>
      <c r="X170" s="31" t="s">
        <v>532</v>
      </c>
      <c r="Y170" s="31">
        <v>1780</v>
      </c>
      <c r="Z170" s="31" t="s">
        <v>57</v>
      </c>
      <c r="AA170" s="31" t="s">
        <v>57</v>
      </c>
      <c r="AB170" s="31" t="s">
        <v>634</v>
      </c>
      <c r="AC170" s="31">
        <v>5554254041</v>
      </c>
      <c r="AD170" s="31">
        <v>5555850877</v>
      </c>
    </row>
    <row r="171" spans="1:30" x14ac:dyDescent="0.2">
      <c r="A171" s="26">
        <v>11233</v>
      </c>
      <c r="B171" s="26">
        <f>VLOOKUP(A171,Hoja1!A:A,1,FALSE)</f>
        <v>11233</v>
      </c>
      <c r="C171" s="27" t="s">
        <v>2004</v>
      </c>
      <c r="D171" s="32" t="s">
        <v>488</v>
      </c>
      <c r="E171" s="29" t="s">
        <v>10</v>
      </c>
      <c r="F171" s="29" t="s">
        <v>10</v>
      </c>
      <c r="G171" s="30">
        <v>36402</v>
      </c>
      <c r="H171" s="26" t="s">
        <v>49</v>
      </c>
      <c r="I171" s="26" t="s">
        <v>110</v>
      </c>
      <c r="J171" s="26" t="s">
        <v>110</v>
      </c>
      <c r="K171" s="26">
        <v>5049</v>
      </c>
      <c r="L171" s="31" t="s">
        <v>2401</v>
      </c>
      <c r="M171" s="26">
        <v>5073</v>
      </c>
      <c r="N171" s="31" t="s">
        <v>646</v>
      </c>
      <c r="O171" s="26">
        <v>5543694924</v>
      </c>
      <c r="P171" s="29" t="s">
        <v>2178</v>
      </c>
      <c r="Q171" s="31" t="s">
        <v>11</v>
      </c>
      <c r="R171" s="26" t="s">
        <v>2211</v>
      </c>
      <c r="S171" s="31" t="s">
        <v>2214</v>
      </c>
      <c r="T171" s="26" t="s">
        <v>19</v>
      </c>
      <c r="U171" s="31" t="s">
        <v>2253</v>
      </c>
      <c r="V171" s="31" t="s">
        <v>635</v>
      </c>
      <c r="W171" s="31" t="s">
        <v>627</v>
      </c>
      <c r="X171" s="31" t="s">
        <v>75</v>
      </c>
      <c r="Y171" s="31">
        <v>10820</v>
      </c>
      <c r="Z171" s="31" t="s">
        <v>57</v>
      </c>
      <c r="AA171" s="31" t="s">
        <v>57</v>
      </c>
      <c r="AB171" s="31" t="s">
        <v>636</v>
      </c>
      <c r="AC171" s="31">
        <v>5556440849</v>
      </c>
      <c r="AD171" s="31">
        <v>5556440770</v>
      </c>
    </row>
    <row r="172" spans="1:30" x14ac:dyDescent="0.2">
      <c r="A172" s="26">
        <v>11255</v>
      </c>
      <c r="B172" s="26">
        <f>VLOOKUP(A172,Hoja1!A:A,1,FALSE)</f>
        <v>11255</v>
      </c>
      <c r="C172" s="27" t="s">
        <v>2005</v>
      </c>
      <c r="D172" s="32" t="s">
        <v>488</v>
      </c>
      <c r="E172" s="29" t="s">
        <v>10</v>
      </c>
      <c r="F172" s="29" t="s">
        <v>10</v>
      </c>
      <c r="G172" s="30">
        <v>36374</v>
      </c>
      <c r="H172" s="26" t="s">
        <v>49</v>
      </c>
      <c r="I172" s="26" t="s">
        <v>110</v>
      </c>
      <c r="J172" s="26" t="s">
        <v>110</v>
      </c>
      <c r="K172" s="26">
        <v>12714</v>
      </c>
      <c r="L172" s="31" t="s">
        <v>2402</v>
      </c>
      <c r="M172" s="26">
        <v>5073</v>
      </c>
      <c r="N172" s="31" t="s">
        <v>646</v>
      </c>
      <c r="O172" s="26">
        <v>5543694924</v>
      </c>
      <c r="P172" s="29" t="s">
        <v>2178</v>
      </c>
      <c r="Q172" s="31" t="s">
        <v>11</v>
      </c>
      <c r="R172" s="26" t="s">
        <v>2211</v>
      </c>
      <c r="S172" s="31" t="s">
        <v>2214</v>
      </c>
      <c r="T172" s="26" t="s">
        <v>19</v>
      </c>
      <c r="U172" s="31" t="s">
        <v>2253</v>
      </c>
      <c r="V172" s="31" t="s">
        <v>637</v>
      </c>
      <c r="W172" s="31" t="s">
        <v>638</v>
      </c>
      <c r="X172" s="31" t="s">
        <v>75</v>
      </c>
      <c r="Y172" s="31">
        <v>14650</v>
      </c>
      <c r="Z172" s="31" t="s">
        <v>57</v>
      </c>
      <c r="AA172" s="31" t="s">
        <v>57</v>
      </c>
      <c r="AB172" s="31" t="s">
        <v>639</v>
      </c>
      <c r="AC172" s="31">
        <v>5556552914</v>
      </c>
      <c r="AD172" s="31">
        <v>5556556060</v>
      </c>
    </row>
    <row r="173" spans="1:30" x14ac:dyDescent="0.2">
      <c r="A173" s="26">
        <v>11264</v>
      </c>
      <c r="B173" s="26">
        <f>VLOOKUP(A173,Hoja1!A:A,1,FALSE)</f>
        <v>11264</v>
      </c>
      <c r="C173" s="27" t="s">
        <v>2006</v>
      </c>
      <c r="D173" s="32" t="s">
        <v>488</v>
      </c>
      <c r="E173" s="29" t="s">
        <v>10</v>
      </c>
      <c r="F173" s="29" t="s">
        <v>10</v>
      </c>
      <c r="G173" s="30">
        <v>36427</v>
      </c>
      <c r="H173" s="26" t="s">
        <v>49</v>
      </c>
      <c r="I173" s="26" t="s">
        <v>110</v>
      </c>
      <c r="J173" s="26" t="s">
        <v>110</v>
      </c>
      <c r="K173" s="26">
        <v>11374</v>
      </c>
      <c r="L173" s="31" t="s">
        <v>2403</v>
      </c>
      <c r="M173" s="26">
        <v>5073</v>
      </c>
      <c r="N173" s="31" t="s">
        <v>646</v>
      </c>
      <c r="O173" s="26">
        <v>5543694924</v>
      </c>
      <c r="P173" s="29" t="s">
        <v>2178</v>
      </c>
      <c r="Q173" s="31" t="s">
        <v>11</v>
      </c>
      <c r="R173" s="26" t="s">
        <v>2211</v>
      </c>
      <c r="S173" s="31" t="s">
        <v>2214</v>
      </c>
      <c r="T173" s="26" t="s">
        <v>19</v>
      </c>
      <c r="U173" s="31" t="s">
        <v>2253</v>
      </c>
      <c r="V173" s="31" t="s">
        <v>640</v>
      </c>
      <c r="W173" s="31" t="s">
        <v>641</v>
      </c>
      <c r="X173" s="31" t="s">
        <v>75</v>
      </c>
      <c r="Y173" s="31">
        <v>14200</v>
      </c>
      <c r="Z173" s="31" t="s">
        <v>57</v>
      </c>
      <c r="AA173" s="31" t="s">
        <v>57</v>
      </c>
      <c r="AB173" s="31" t="s">
        <v>642</v>
      </c>
      <c r="AC173" s="31">
        <v>5554461447</v>
      </c>
      <c r="AD173" s="31">
        <v>5554461446</v>
      </c>
    </row>
    <row r="174" spans="1:30" x14ac:dyDescent="0.2">
      <c r="A174" s="26">
        <v>12320</v>
      </c>
      <c r="B174" s="26">
        <f>VLOOKUP(A174,Hoja1!A:A,1,FALSE)</f>
        <v>12320</v>
      </c>
      <c r="C174" s="27" t="s">
        <v>2007</v>
      </c>
      <c r="D174" s="32" t="s">
        <v>488</v>
      </c>
      <c r="E174" s="29" t="s">
        <v>10</v>
      </c>
      <c r="F174" s="29" t="s">
        <v>10</v>
      </c>
      <c r="G174" s="30">
        <v>43343</v>
      </c>
      <c r="H174" s="26" t="s">
        <v>49</v>
      </c>
      <c r="I174" s="26" t="s">
        <v>110</v>
      </c>
      <c r="J174" s="26" t="s">
        <v>110</v>
      </c>
      <c r="K174" s="26">
        <v>134436</v>
      </c>
      <c r="L174" s="31" t="s">
        <v>2404</v>
      </c>
      <c r="M174" s="26">
        <v>5073</v>
      </c>
      <c r="N174" s="31" t="s">
        <v>646</v>
      </c>
      <c r="O174" s="26">
        <v>5543694924</v>
      </c>
      <c r="P174" s="29" t="s">
        <v>2178</v>
      </c>
      <c r="Q174" s="31" t="s">
        <v>11</v>
      </c>
      <c r="R174" s="26" t="s">
        <v>2211</v>
      </c>
      <c r="S174" s="31" t="s">
        <v>2214</v>
      </c>
      <c r="T174" s="26" t="s">
        <v>19</v>
      </c>
      <c r="U174" s="31" t="s">
        <v>2253</v>
      </c>
      <c r="V174" s="31" t="s">
        <v>643</v>
      </c>
      <c r="W174" s="31" t="s">
        <v>644</v>
      </c>
      <c r="X174" s="31" t="s">
        <v>75</v>
      </c>
      <c r="Y174" s="31">
        <v>14220</v>
      </c>
      <c r="Z174" s="31" t="s">
        <v>57</v>
      </c>
      <c r="AA174" s="31" t="s">
        <v>57</v>
      </c>
      <c r="AB174" s="31" t="s">
        <v>645</v>
      </c>
      <c r="AC174" s="31" t="s">
        <v>2222</v>
      </c>
      <c r="AD174" s="31">
        <v>5514544534</v>
      </c>
    </row>
    <row r="175" spans="1:30" x14ac:dyDescent="0.2">
      <c r="A175" s="26">
        <v>11019</v>
      </c>
      <c r="B175" s="26">
        <f>VLOOKUP(A175,Hoja1!A:A,1,FALSE)</f>
        <v>11019</v>
      </c>
      <c r="C175" s="27" t="s">
        <v>2015</v>
      </c>
      <c r="D175" s="32" t="s">
        <v>488</v>
      </c>
      <c r="E175" s="29" t="s">
        <v>10</v>
      </c>
      <c r="F175" s="29" t="s">
        <v>10</v>
      </c>
      <c r="G175" s="30">
        <v>33248</v>
      </c>
      <c r="H175" s="26" t="s">
        <v>49</v>
      </c>
      <c r="I175" s="26" t="s">
        <v>110</v>
      </c>
      <c r="J175" s="26" t="s">
        <v>110</v>
      </c>
      <c r="K175" s="26">
        <v>9842</v>
      </c>
      <c r="L175" s="31" t="s">
        <v>2414</v>
      </c>
      <c r="M175" s="26">
        <v>4565</v>
      </c>
      <c r="N175" s="31" t="s">
        <v>675</v>
      </c>
      <c r="O175" s="26">
        <v>5541302266</v>
      </c>
      <c r="P175" s="29" t="s">
        <v>2180</v>
      </c>
      <c r="Q175" s="31" t="s">
        <v>11</v>
      </c>
      <c r="R175" s="26" t="s">
        <v>2211</v>
      </c>
      <c r="S175" s="31" t="s">
        <v>2214</v>
      </c>
      <c r="T175" s="26" t="s">
        <v>19</v>
      </c>
      <c r="U175" s="31" t="s">
        <v>2253</v>
      </c>
      <c r="V175" s="31" t="s">
        <v>676</v>
      </c>
      <c r="W175" s="31" t="s">
        <v>677</v>
      </c>
      <c r="X175" s="31" t="s">
        <v>99</v>
      </c>
      <c r="Y175" s="31">
        <v>39850</v>
      </c>
      <c r="Z175" s="31" t="s">
        <v>678</v>
      </c>
      <c r="AA175" s="31" t="s">
        <v>679</v>
      </c>
      <c r="AB175" s="31" t="s">
        <v>680</v>
      </c>
      <c r="AC175" s="31">
        <v>7444810051</v>
      </c>
      <c r="AD175" s="31">
        <v>7444810044</v>
      </c>
    </row>
    <row r="176" spans="1:30" x14ac:dyDescent="0.2">
      <c r="A176" s="26">
        <v>11061</v>
      </c>
      <c r="B176" s="26">
        <f>VLOOKUP(A176,Hoja1!A:A,1,FALSE)</f>
        <v>11061</v>
      </c>
      <c r="C176" s="27" t="s">
        <v>2016</v>
      </c>
      <c r="D176" s="32" t="s">
        <v>488</v>
      </c>
      <c r="E176" s="29" t="s">
        <v>10</v>
      </c>
      <c r="F176" s="29" t="s">
        <v>10</v>
      </c>
      <c r="G176" s="30">
        <v>33709</v>
      </c>
      <c r="H176" s="26" t="s">
        <v>49</v>
      </c>
      <c r="I176" s="26" t="s">
        <v>110</v>
      </c>
      <c r="J176" s="26" t="s">
        <v>110</v>
      </c>
      <c r="K176" s="26">
        <v>28948</v>
      </c>
      <c r="L176" s="31" t="s">
        <v>2415</v>
      </c>
      <c r="M176" s="26">
        <v>4565</v>
      </c>
      <c r="N176" s="31" t="s">
        <v>675</v>
      </c>
      <c r="O176" s="26">
        <v>5541302266</v>
      </c>
      <c r="P176" s="29" t="s">
        <v>2180</v>
      </c>
      <c r="Q176" s="31" t="s">
        <v>11</v>
      </c>
      <c r="R176" s="26" t="s">
        <v>2211</v>
      </c>
      <c r="S176" s="31" t="s">
        <v>2214</v>
      </c>
      <c r="T176" s="26" t="s">
        <v>19</v>
      </c>
      <c r="U176" s="31" t="s">
        <v>2253</v>
      </c>
      <c r="V176" s="31" t="s">
        <v>681</v>
      </c>
      <c r="W176" s="31" t="s">
        <v>682</v>
      </c>
      <c r="X176" s="31" t="s">
        <v>99</v>
      </c>
      <c r="Y176" s="31">
        <v>39670</v>
      </c>
      <c r="Z176" s="31" t="s">
        <v>678</v>
      </c>
      <c r="AA176" s="31" t="s">
        <v>679</v>
      </c>
      <c r="AB176" s="31" t="s">
        <v>683</v>
      </c>
      <c r="AC176" s="31">
        <v>7443001571</v>
      </c>
      <c r="AD176" s="31">
        <v>7444865727</v>
      </c>
    </row>
    <row r="177" spans="1:30" x14ac:dyDescent="0.2">
      <c r="A177" s="26">
        <v>11198</v>
      </c>
      <c r="B177" s="26">
        <f>VLOOKUP(A177,Hoja1!A:A,1,FALSE)</f>
        <v>11198</v>
      </c>
      <c r="C177" s="27" t="s">
        <v>685</v>
      </c>
      <c r="D177" s="32" t="s">
        <v>488</v>
      </c>
      <c r="E177" s="29" t="s">
        <v>10</v>
      </c>
      <c r="F177" s="29" t="s">
        <v>10</v>
      </c>
      <c r="G177" s="30">
        <v>36146</v>
      </c>
      <c r="H177" s="26" t="s">
        <v>49</v>
      </c>
      <c r="I177" s="26" t="s">
        <v>110</v>
      </c>
      <c r="J177" s="26" t="s">
        <v>110</v>
      </c>
      <c r="K177" s="26">
        <v>6540</v>
      </c>
      <c r="L177" s="31" t="s">
        <v>2416</v>
      </c>
      <c r="M177" s="26">
        <v>4565</v>
      </c>
      <c r="N177" s="31" t="s">
        <v>675</v>
      </c>
      <c r="O177" s="26">
        <v>5541302266</v>
      </c>
      <c r="P177" s="29" t="s">
        <v>2180</v>
      </c>
      <c r="Q177" s="31" t="s">
        <v>11</v>
      </c>
      <c r="R177" s="26" t="s">
        <v>2211</v>
      </c>
      <c r="S177" s="31" t="s">
        <v>2214</v>
      </c>
      <c r="T177" s="26" t="s">
        <v>19</v>
      </c>
      <c r="U177" s="31" t="s">
        <v>2253</v>
      </c>
      <c r="V177" s="31" t="s">
        <v>684</v>
      </c>
      <c r="W177" s="31" t="s">
        <v>513</v>
      </c>
      <c r="X177" s="31" t="s">
        <v>99</v>
      </c>
      <c r="Y177" s="31">
        <v>39089</v>
      </c>
      <c r="Z177" s="31" t="s">
        <v>685</v>
      </c>
      <c r="AA177" s="31" t="s">
        <v>679</v>
      </c>
      <c r="AB177" s="31" t="s">
        <v>686</v>
      </c>
      <c r="AC177" s="31">
        <v>7474914999</v>
      </c>
      <c r="AD177" s="31">
        <v>7474714484</v>
      </c>
    </row>
    <row r="178" spans="1:30" x14ac:dyDescent="0.2">
      <c r="A178" s="26">
        <v>11208</v>
      </c>
      <c r="B178" s="26">
        <f>VLOOKUP(A178,Hoja1!A:A,1,FALSE)</f>
        <v>11208</v>
      </c>
      <c r="C178" s="27" t="s">
        <v>688</v>
      </c>
      <c r="D178" s="32" t="s">
        <v>488</v>
      </c>
      <c r="E178" s="29" t="s">
        <v>10</v>
      </c>
      <c r="F178" s="29" t="s">
        <v>10</v>
      </c>
      <c r="G178" s="30">
        <v>36026</v>
      </c>
      <c r="H178" s="26" t="s">
        <v>49</v>
      </c>
      <c r="I178" s="26" t="s">
        <v>110</v>
      </c>
      <c r="J178" s="26" t="s">
        <v>110</v>
      </c>
      <c r="K178" s="26">
        <v>111449</v>
      </c>
      <c r="L178" s="31" t="s">
        <v>2417</v>
      </c>
      <c r="M178" s="26">
        <v>4565</v>
      </c>
      <c r="N178" s="31" t="s">
        <v>675</v>
      </c>
      <c r="O178" s="26">
        <v>5541302266</v>
      </c>
      <c r="P178" s="29" t="s">
        <v>2180</v>
      </c>
      <c r="Q178" s="31" t="s">
        <v>11</v>
      </c>
      <c r="R178" s="26" t="s">
        <v>2211</v>
      </c>
      <c r="S178" s="31" t="s">
        <v>2214</v>
      </c>
      <c r="T178" s="26" t="s">
        <v>19</v>
      </c>
      <c r="U178" s="31" t="s">
        <v>2253</v>
      </c>
      <c r="V178" s="31" t="s">
        <v>687</v>
      </c>
      <c r="W178" s="31" t="s">
        <v>89</v>
      </c>
      <c r="X178" s="31" t="s">
        <v>99</v>
      </c>
      <c r="Y178" s="31">
        <v>40000</v>
      </c>
      <c r="Z178" s="31" t="s">
        <v>688</v>
      </c>
      <c r="AA178" s="31" t="s">
        <v>679</v>
      </c>
      <c r="AB178" s="31" t="s">
        <v>689</v>
      </c>
      <c r="AC178" s="31">
        <v>7333325425</v>
      </c>
      <c r="AD178" s="31">
        <v>7333324567</v>
      </c>
    </row>
    <row r="179" spans="1:30" x14ac:dyDescent="0.2">
      <c r="A179" s="26">
        <v>11307</v>
      </c>
      <c r="B179" s="26">
        <f>VLOOKUP(A179,Hoja1!A:A,1,FALSE)</f>
        <v>11307</v>
      </c>
      <c r="C179" s="27" t="s">
        <v>2017</v>
      </c>
      <c r="D179" s="32" t="s">
        <v>488</v>
      </c>
      <c r="E179" s="29" t="s">
        <v>10</v>
      </c>
      <c r="F179" s="29" t="s">
        <v>10</v>
      </c>
      <c r="G179" s="30">
        <v>36642</v>
      </c>
      <c r="H179" s="26" t="s">
        <v>49</v>
      </c>
      <c r="I179" s="26" t="s">
        <v>110</v>
      </c>
      <c r="J179" s="26" t="s">
        <v>110</v>
      </c>
      <c r="K179" s="26">
        <v>31380</v>
      </c>
      <c r="L179" s="31" t="s">
        <v>2418</v>
      </c>
      <c r="M179" s="26">
        <v>4565</v>
      </c>
      <c r="N179" s="31" t="s">
        <v>675</v>
      </c>
      <c r="O179" s="26">
        <v>5541302266</v>
      </c>
      <c r="P179" s="29" t="s">
        <v>2180</v>
      </c>
      <c r="Q179" s="31" t="s">
        <v>11</v>
      </c>
      <c r="R179" s="26" t="s">
        <v>2211</v>
      </c>
      <c r="S179" s="31" t="s">
        <v>2214</v>
      </c>
      <c r="T179" s="26" t="s">
        <v>19</v>
      </c>
      <c r="U179" s="31" t="s">
        <v>2253</v>
      </c>
      <c r="V179" s="31" t="s">
        <v>690</v>
      </c>
      <c r="W179" s="31" t="s">
        <v>691</v>
      </c>
      <c r="X179" s="31" t="s">
        <v>99</v>
      </c>
      <c r="Y179" s="31">
        <v>39850</v>
      </c>
      <c r="Z179" s="31" t="s">
        <v>678</v>
      </c>
      <c r="AA179" s="31" t="s">
        <v>679</v>
      </c>
      <c r="AB179" s="31" t="s">
        <v>692</v>
      </c>
      <c r="AC179" s="31">
        <v>7443001449</v>
      </c>
      <c r="AD179" s="31">
        <v>7444458210</v>
      </c>
    </row>
    <row r="180" spans="1:30" x14ac:dyDescent="0.2">
      <c r="A180" s="26">
        <v>11334</v>
      </c>
      <c r="B180" s="26">
        <f>VLOOKUP(A180,Hoja1!A:A,1,FALSE)</f>
        <v>11334</v>
      </c>
      <c r="C180" s="27" t="s">
        <v>694</v>
      </c>
      <c r="D180" s="32" t="s">
        <v>488</v>
      </c>
      <c r="E180" s="29" t="s">
        <v>10</v>
      </c>
      <c r="F180" s="29" t="s">
        <v>10</v>
      </c>
      <c r="G180" s="30">
        <v>36775</v>
      </c>
      <c r="H180" s="26" t="s">
        <v>49</v>
      </c>
      <c r="I180" s="26" t="s">
        <v>110</v>
      </c>
      <c r="J180" s="26" t="s">
        <v>110</v>
      </c>
      <c r="K180" s="26">
        <v>44171</v>
      </c>
      <c r="L180" s="31" t="s">
        <v>2419</v>
      </c>
      <c r="M180" s="26">
        <v>4565</v>
      </c>
      <c r="N180" s="31" t="s">
        <v>675</v>
      </c>
      <c r="O180" s="26">
        <v>5541302266</v>
      </c>
      <c r="P180" s="29" t="s">
        <v>2180</v>
      </c>
      <c r="Q180" s="31" t="s">
        <v>11</v>
      </c>
      <c r="R180" s="26" t="s">
        <v>2211</v>
      </c>
      <c r="S180" s="31" t="s">
        <v>2214</v>
      </c>
      <c r="T180" s="26" t="s">
        <v>19</v>
      </c>
      <c r="U180" s="31" t="s">
        <v>2253</v>
      </c>
      <c r="V180" s="31" t="s">
        <v>693</v>
      </c>
      <c r="W180" s="31" t="s">
        <v>694</v>
      </c>
      <c r="X180" s="31" t="s">
        <v>99</v>
      </c>
      <c r="Y180" s="31">
        <v>39716</v>
      </c>
      <c r="Z180" s="31" t="s">
        <v>678</v>
      </c>
      <c r="AA180" s="31" t="s">
        <v>679</v>
      </c>
      <c r="AB180" s="31" t="s">
        <v>695</v>
      </c>
      <c r="AC180" s="31">
        <v>7444424398</v>
      </c>
      <c r="AD180" s="31">
        <v>7444424393</v>
      </c>
    </row>
    <row r="181" spans="1:30" x14ac:dyDescent="0.2">
      <c r="A181" s="26">
        <v>11342</v>
      </c>
      <c r="B181" s="26">
        <f>VLOOKUP(A181,Hoja1!A:A,1,FALSE)</f>
        <v>11342</v>
      </c>
      <c r="C181" s="27" t="s">
        <v>2018</v>
      </c>
      <c r="D181" s="32" t="s">
        <v>488</v>
      </c>
      <c r="E181" s="29" t="s">
        <v>10</v>
      </c>
      <c r="F181" s="29" t="s">
        <v>10</v>
      </c>
      <c r="G181" s="30">
        <v>36749</v>
      </c>
      <c r="H181" s="26" t="s">
        <v>49</v>
      </c>
      <c r="I181" s="26" t="s">
        <v>110</v>
      </c>
      <c r="J181" s="26" t="s">
        <v>110</v>
      </c>
      <c r="K181" s="26">
        <v>2786</v>
      </c>
      <c r="L181" s="31" t="s">
        <v>2420</v>
      </c>
      <c r="M181" s="26">
        <v>4565</v>
      </c>
      <c r="N181" s="31" t="s">
        <v>675</v>
      </c>
      <c r="O181" s="26">
        <v>5541302266</v>
      </c>
      <c r="P181" s="29" t="s">
        <v>2180</v>
      </c>
      <c r="Q181" s="31" t="s">
        <v>11</v>
      </c>
      <c r="R181" s="26" t="s">
        <v>2211</v>
      </c>
      <c r="S181" s="31" t="s">
        <v>2214</v>
      </c>
      <c r="T181" s="26" t="s">
        <v>19</v>
      </c>
      <c r="U181" s="31" t="s">
        <v>2253</v>
      </c>
      <c r="V181" s="31" t="s">
        <v>696</v>
      </c>
      <c r="W181" s="31" t="s">
        <v>697</v>
      </c>
      <c r="X181" s="31" t="s">
        <v>99</v>
      </c>
      <c r="Y181" s="31">
        <v>39300</v>
      </c>
      <c r="Z181" s="31" t="s">
        <v>678</v>
      </c>
      <c r="AA181" s="31" t="s">
        <v>679</v>
      </c>
      <c r="AB181" s="31" t="s">
        <v>698</v>
      </c>
      <c r="AC181" s="31">
        <v>7444838037</v>
      </c>
      <c r="AD181" s="31">
        <v>7444838000</v>
      </c>
    </row>
    <row r="182" spans="1:30" x14ac:dyDescent="0.2">
      <c r="A182" s="26">
        <v>11382</v>
      </c>
      <c r="B182" s="26">
        <f>VLOOKUP(A182,Hoja1!A:A,1,FALSE)</f>
        <v>11382</v>
      </c>
      <c r="C182" s="27" t="s">
        <v>2019</v>
      </c>
      <c r="D182" s="32" t="s">
        <v>488</v>
      </c>
      <c r="E182" s="29" t="s">
        <v>10</v>
      </c>
      <c r="F182" s="29" t="s">
        <v>10</v>
      </c>
      <c r="G182" s="30">
        <v>37512</v>
      </c>
      <c r="H182" s="26" t="s">
        <v>49</v>
      </c>
      <c r="I182" s="26" t="s">
        <v>110</v>
      </c>
      <c r="J182" s="26" t="s">
        <v>110</v>
      </c>
      <c r="K182" s="26">
        <v>32019</v>
      </c>
      <c r="L182" s="31" t="s">
        <v>2421</v>
      </c>
      <c r="M182" s="26">
        <v>4565</v>
      </c>
      <c r="N182" s="31" t="s">
        <v>675</v>
      </c>
      <c r="O182" s="26">
        <v>5541302266</v>
      </c>
      <c r="P182" s="29" t="s">
        <v>2180</v>
      </c>
      <c r="Q182" s="31" t="s">
        <v>11</v>
      </c>
      <c r="R182" s="26" t="s">
        <v>2211</v>
      </c>
      <c r="S182" s="31" t="s">
        <v>2214</v>
      </c>
      <c r="T182" s="26" t="s">
        <v>19</v>
      </c>
      <c r="U182" s="31" t="s">
        <v>2253</v>
      </c>
      <c r="V182" s="31" t="s">
        <v>699</v>
      </c>
      <c r="W182" s="31" t="s">
        <v>700</v>
      </c>
      <c r="X182" s="31" t="s">
        <v>99</v>
      </c>
      <c r="Y182" s="31">
        <v>39907</v>
      </c>
      <c r="Z182" s="31" t="s">
        <v>678</v>
      </c>
      <c r="AA182" s="31" t="s">
        <v>679</v>
      </c>
      <c r="AB182" s="31" t="s">
        <v>701</v>
      </c>
      <c r="AC182" s="31">
        <v>7444660355</v>
      </c>
      <c r="AD182" s="31">
        <v>7444662990</v>
      </c>
    </row>
    <row r="183" spans="1:30" x14ac:dyDescent="0.2">
      <c r="A183" s="26">
        <v>11574</v>
      </c>
      <c r="B183" s="26">
        <f>VLOOKUP(A183,Hoja1!A:A,1,FALSE)</f>
        <v>11574</v>
      </c>
      <c r="C183" s="27" t="s">
        <v>2020</v>
      </c>
      <c r="D183" s="32" t="s">
        <v>488</v>
      </c>
      <c r="E183" s="29" t="s">
        <v>10</v>
      </c>
      <c r="F183" s="29" t="s">
        <v>10</v>
      </c>
      <c r="G183" s="30">
        <v>42244</v>
      </c>
      <c r="H183" s="26" t="s">
        <v>49</v>
      </c>
      <c r="I183" s="26" t="s">
        <v>110</v>
      </c>
      <c r="J183" s="26" t="s">
        <v>110</v>
      </c>
      <c r="K183" s="26">
        <v>42838</v>
      </c>
      <c r="L183" s="31" t="s">
        <v>2422</v>
      </c>
      <c r="M183" s="26">
        <v>4565</v>
      </c>
      <c r="N183" s="31" t="s">
        <v>675</v>
      </c>
      <c r="O183" s="26">
        <v>5541302266</v>
      </c>
      <c r="P183" s="29" t="s">
        <v>2180</v>
      </c>
      <c r="Q183" s="31" t="s">
        <v>11</v>
      </c>
      <c r="R183" s="26" t="s">
        <v>2211</v>
      </c>
      <c r="S183" s="31" t="s">
        <v>2214</v>
      </c>
      <c r="T183" s="26" t="s">
        <v>19</v>
      </c>
      <c r="U183" s="31" t="s">
        <v>2253</v>
      </c>
      <c r="V183" s="31" t="s">
        <v>702</v>
      </c>
      <c r="W183" s="31" t="s">
        <v>703</v>
      </c>
      <c r="X183" s="31" t="s">
        <v>99</v>
      </c>
      <c r="Y183" s="31">
        <v>39860</v>
      </c>
      <c r="Z183" s="31" t="s">
        <v>678</v>
      </c>
      <c r="AA183" s="31" t="s">
        <v>679</v>
      </c>
      <c r="AB183" s="31" t="s">
        <v>704</v>
      </c>
      <c r="AC183" s="31">
        <v>7441364309</v>
      </c>
      <c r="AD183" s="31">
        <v>7444843301</v>
      </c>
    </row>
    <row r="184" spans="1:30" x14ac:dyDescent="0.2">
      <c r="A184" s="26">
        <v>11630</v>
      </c>
      <c r="B184" s="26">
        <f>VLOOKUP(A184,Hoja1!A:A,1,FALSE)</f>
        <v>11630</v>
      </c>
      <c r="C184" s="27" t="s">
        <v>2021</v>
      </c>
      <c r="D184" s="32" t="s">
        <v>488</v>
      </c>
      <c r="E184" s="29" t="s">
        <v>10</v>
      </c>
      <c r="F184" s="29" t="s">
        <v>10</v>
      </c>
      <c r="G184" s="30">
        <v>42903</v>
      </c>
      <c r="H184" s="26" t="s">
        <v>49</v>
      </c>
      <c r="I184" s="26" t="s">
        <v>110</v>
      </c>
      <c r="J184" s="26" t="s">
        <v>110</v>
      </c>
      <c r="K184" s="26">
        <v>79700</v>
      </c>
      <c r="L184" s="31" t="s">
        <v>2423</v>
      </c>
      <c r="M184" s="26">
        <v>4565</v>
      </c>
      <c r="N184" s="31" t="s">
        <v>675</v>
      </c>
      <c r="O184" s="26">
        <v>5541302266</v>
      </c>
      <c r="P184" s="29" t="s">
        <v>2180</v>
      </c>
      <c r="Q184" s="31" t="s">
        <v>11</v>
      </c>
      <c r="R184" s="26" t="s">
        <v>2211</v>
      </c>
      <c r="S184" s="31" t="s">
        <v>2214</v>
      </c>
      <c r="T184" s="26" t="s">
        <v>19</v>
      </c>
      <c r="U184" s="31" t="s">
        <v>2253</v>
      </c>
      <c r="V184" s="31" t="s">
        <v>705</v>
      </c>
      <c r="W184" s="31" t="s">
        <v>706</v>
      </c>
      <c r="X184" s="31" t="s">
        <v>99</v>
      </c>
      <c r="Y184" s="31">
        <v>39906</v>
      </c>
      <c r="Z184" s="31" t="s">
        <v>678</v>
      </c>
      <c r="AA184" s="31" t="s">
        <v>679</v>
      </c>
      <c r="AB184" s="31" t="s">
        <v>707</v>
      </c>
      <c r="AC184" s="31">
        <v>7444060805</v>
      </c>
      <c r="AD184" s="31">
        <v>7444061400</v>
      </c>
    </row>
    <row r="185" spans="1:30" x14ac:dyDescent="0.2">
      <c r="A185" s="26">
        <v>11865</v>
      </c>
      <c r="B185" s="26">
        <f>VLOOKUP(A185,Hoja1!A:A,1,FALSE)</f>
        <v>11865</v>
      </c>
      <c r="C185" s="27" t="s">
        <v>2022</v>
      </c>
      <c r="D185" s="32" t="s">
        <v>488</v>
      </c>
      <c r="E185" s="29" t="s">
        <v>10</v>
      </c>
      <c r="F185" s="29" t="s">
        <v>10</v>
      </c>
      <c r="G185" s="30">
        <v>38487</v>
      </c>
      <c r="H185" s="26" t="s">
        <v>49</v>
      </c>
      <c r="I185" s="26" t="s">
        <v>110</v>
      </c>
      <c r="J185" s="26" t="s">
        <v>87</v>
      </c>
      <c r="K185" s="26">
        <v>10960</v>
      </c>
      <c r="L185" s="31" t="s">
        <v>2424</v>
      </c>
      <c r="M185" s="26">
        <v>4565</v>
      </c>
      <c r="N185" s="31" t="s">
        <v>675</v>
      </c>
      <c r="O185" s="26">
        <v>5541302266</v>
      </c>
      <c r="P185" s="29" t="s">
        <v>2180</v>
      </c>
      <c r="Q185" s="31" t="s">
        <v>11</v>
      </c>
      <c r="R185" s="26" t="s">
        <v>2211</v>
      </c>
      <c r="S185" s="31" t="s">
        <v>2214</v>
      </c>
      <c r="T185" s="26" t="s">
        <v>19</v>
      </c>
      <c r="U185" s="31" t="s">
        <v>2253</v>
      </c>
      <c r="V185" s="31" t="s">
        <v>708</v>
      </c>
      <c r="W185" s="31" t="s">
        <v>709</v>
      </c>
      <c r="X185" s="31" t="s">
        <v>99</v>
      </c>
      <c r="Y185" s="31">
        <v>39890</v>
      </c>
      <c r="Z185" s="31" t="s">
        <v>678</v>
      </c>
      <c r="AA185" s="31" t="s">
        <v>679</v>
      </c>
      <c r="AB185" s="31" t="s">
        <v>710</v>
      </c>
      <c r="AC185" s="31">
        <v>7444430317</v>
      </c>
      <c r="AD185" s="31">
        <v>7444434695</v>
      </c>
    </row>
    <row r="186" spans="1:30" x14ac:dyDescent="0.2">
      <c r="A186" s="26">
        <v>12350</v>
      </c>
      <c r="B186" s="26">
        <f>VLOOKUP(A186,Hoja1!A:A,1,FALSE)</f>
        <v>12350</v>
      </c>
      <c r="C186" s="27" t="s">
        <v>2023</v>
      </c>
      <c r="D186" s="32" t="s">
        <v>488</v>
      </c>
      <c r="E186" s="29" t="s">
        <v>10</v>
      </c>
      <c r="F186" s="29" t="s">
        <v>10</v>
      </c>
      <c r="G186" s="30">
        <v>43455</v>
      </c>
      <c r="H186" s="26" t="s">
        <v>49</v>
      </c>
      <c r="I186" s="26" t="s">
        <v>110</v>
      </c>
      <c r="J186" s="26" t="s">
        <v>110</v>
      </c>
      <c r="K186" s="26">
        <v>109252</v>
      </c>
      <c r="L186" s="31" t="s">
        <v>2425</v>
      </c>
      <c r="M186" s="26">
        <v>4565</v>
      </c>
      <c r="N186" s="31" t="s">
        <v>675</v>
      </c>
      <c r="O186" s="26">
        <v>5541302266</v>
      </c>
      <c r="P186" s="29" t="s">
        <v>2180</v>
      </c>
      <c r="Q186" s="31" t="s">
        <v>11</v>
      </c>
      <c r="R186" s="26" t="s">
        <v>2211</v>
      </c>
      <c r="S186" s="31" t="s">
        <v>2214</v>
      </c>
      <c r="T186" s="26" t="s">
        <v>19</v>
      </c>
      <c r="U186" s="31" t="s">
        <v>2253</v>
      </c>
      <c r="V186" s="31" t="s">
        <v>711</v>
      </c>
      <c r="W186" s="31" t="s">
        <v>712</v>
      </c>
      <c r="X186" s="31" t="s">
        <v>99</v>
      </c>
      <c r="Y186" s="31">
        <v>39390</v>
      </c>
      <c r="Z186" s="31" t="s">
        <v>678</v>
      </c>
      <c r="AA186" s="31" t="s">
        <v>679</v>
      </c>
      <c r="AB186" s="31" t="s">
        <v>713</v>
      </c>
      <c r="AC186" s="31">
        <v>7441340010</v>
      </c>
      <c r="AD186" s="31">
        <v>7441340010</v>
      </c>
    </row>
    <row r="187" spans="1:30" x14ac:dyDescent="0.2">
      <c r="A187" s="15">
        <v>12374</v>
      </c>
      <c r="B187" s="26" t="e">
        <f>VLOOKUP(A187,Hoja1!A:A,1,FALSE)</f>
        <v>#N/A</v>
      </c>
      <c r="C187" s="13" t="s">
        <v>2097</v>
      </c>
      <c r="D187" s="32" t="s">
        <v>488</v>
      </c>
      <c r="E187" s="33" t="s">
        <v>10</v>
      </c>
      <c r="F187" s="33" t="s">
        <v>10</v>
      </c>
      <c r="G187" s="34">
        <v>43722</v>
      </c>
      <c r="H187" s="15" t="s">
        <v>49</v>
      </c>
      <c r="I187" s="15" t="s">
        <v>110</v>
      </c>
      <c r="J187" s="15" t="s">
        <v>110</v>
      </c>
      <c r="K187" s="26">
        <v>1456</v>
      </c>
      <c r="L187" s="31" t="s">
        <v>2426</v>
      </c>
      <c r="M187" s="26">
        <v>4565</v>
      </c>
      <c r="N187" s="31" t="s">
        <v>675</v>
      </c>
      <c r="O187" s="26">
        <v>5541302266</v>
      </c>
      <c r="P187" s="29" t="s">
        <v>2180</v>
      </c>
      <c r="Q187" s="16" t="s">
        <v>11</v>
      </c>
      <c r="R187" s="26" t="s">
        <v>2211</v>
      </c>
      <c r="S187" s="31" t="s">
        <v>2214</v>
      </c>
      <c r="T187" s="26" t="s">
        <v>19</v>
      </c>
      <c r="U187" s="31" t="s">
        <v>2253</v>
      </c>
      <c r="V187" s="16" t="s">
        <v>2152</v>
      </c>
      <c r="W187" s="31" t="s">
        <v>2161</v>
      </c>
      <c r="X187" s="31" t="s">
        <v>2225</v>
      </c>
      <c r="Y187" s="31">
        <v>39300</v>
      </c>
      <c r="Z187" s="31" t="s">
        <v>678</v>
      </c>
      <c r="AA187" s="31" t="s">
        <v>679</v>
      </c>
      <c r="AB187" s="31" t="s">
        <v>2099</v>
      </c>
      <c r="AC187" s="31">
        <v>7441340011</v>
      </c>
      <c r="AD187" s="31">
        <v>7441340011</v>
      </c>
    </row>
    <row r="188" spans="1:30" x14ac:dyDescent="0.2">
      <c r="A188" s="26">
        <v>11110</v>
      </c>
      <c r="B188" s="26">
        <f>VLOOKUP(A188,Hoja1!A:A,1,FALSE)</f>
        <v>11110</v>
      </c>
      <c r="C188" s="27" t="s">
        <v>2024</v>
      </c>
      <c r="D188" s="32" t="s">
        <v>488</v>
      </c>
      <c r="E188" s="29" t="s">
        <v>10</v>
      </c>
      <c r="F188" s="29" t="s">
        <v>10</v>
      </c>
      <c r="G188" s="30">
        <v>34274</v>
      </c>
      <c r="H188" s="26" t="s">
        <v>49</v>
      </c>
      <c r="I188" s="26" t="s">
        <v>110</v>
      </c>
      <c r="J188" s="26" t="s">
        <v>110</v>
      </c>
      <c r="K188" s="26">
        <v>26209</v>
      </c>
      <c r="L188" s="31" t="s">
        <v>2427</v>
      </c>
      <c r="M188" s="26">
        <v>6073</v>
      </c>
      <c r="N188" s="31" t="s">
        <v>714</v>
      </c>
      <c r="O188" s="26">
        <v>7226910446</v>
      </c>
      <c r="P188" s="29" t="s">
        <v>2181</v>
      </c>
      <c r="Q188" s="31" t="s">
        <v>11</v>
      </c>
      <c r="R188" s="26" t="s">
        <v>2211</v>
      </c>
      <c r="S188" s="31" t="s">
        <v>2214</v>
      </c>
      <c r="T188" s="26" t="s">
        <v>19</v>
      </c>
      <c r="U188" s="31" t="s">
        <v>2253</v>
      </c>
      <c r="V188" s="31" t="s">
        <v>715</v>
      </c>
      <c r="W188" s="31" t="s">
        <v>716</v>
      </c>
      <c r="X188" s="31" t="s">
        <v>99</v>
      </c>
      <c r="Y188" s="31">
        <v>52140</v>
      </c>
      <c r="Z188" s="31" t="s">
        <v>717</v>
      </c>
      <c r="AA188" s="31" t="s">
        <v>118</v>
      </c>
      <c r="AB188" s="31" t="s">
        <v>718</v>
      </c>
      <c r="AC188" s="31">
        <v>7222759048</v>
      </c>
      <c r="AD188" s="31">
        <v>7222114343</v>
      </c>
    </row>
    <row r="189" spans="1:30" x14ac:dyDescent="0.2">
      <c r="A189" s="26">
        <v>11223</v>
      </c>
      <c r="B189" s="26">
        <f>VLOOKUP(A189,Hoja1!A:A,1,FALSE)</f>
        <v>11223</v>
      </c>
      <c r="C189" s="27" t="s">
        <v>2025</v>
      </c>
      <c r="D189" s="32" t="s">
        <v>488</v>
      </c>
      <c r="E189" s="29" t="s">
        <v>10</v>
      </c>
      <c r="F189" s="29" t="s">
        <v>10</v>
      </c>
      <c r="G189" s="30">
        <v>36087</v>
      </c>
      <c r="H189" s="26" t="s">
        <v>49</v>
      </c>
      <c r="I189" s="26" t="s">
        <v>110</v>
      </c>
      <c r="J189" s="26" t="s">
        <v>110</v>
      </c>
      <c r="K189" s="26">
        <v>26015</v>
      </c>
      <c r="L189" s="31" t="s">
        <v>2428</v>
      </c>
      <c r="M189" s="26">
        <v>6073</v>
      </c>
      <c r="N189" s="31" t="s">
        <v>714</v>
      </c>
      <c r="O189" s="26">
        <v>7226910446</v>
      </c>
      <c r="P189" s="29" t="s">
        <v>2181</v>
      </c>
      <c r="Q189" s="31" t="s">
        <v>11</v>
      </c>
      <c r="R189" s="26" t="s">
        <v>2211</v>
      </c>
      <c r="S189" s="31" t="s">
        <v>2214</v>
      </c>
      <c r="T189" s="26" t="s">
        <v>19</v>
      </c>
      <c r="U189" s="31" t="s">
        <v>2253</v>
      </c>
      <c r="V189" s="31" t="s">
        <v>719</v>
      </c>
      <c r="W189" s="31" t="s">
        <v>720</v>
      </c>
      <c r="X189" s="31" t="s">
        <v>99</v>
      </c>
      <c r="Y189" s="31">
        <v>50010</v>
      </c>
      <c r="Z189" s="31" t="s">
        <v>717</v>
      </c>
      <c r="AA189" s="31" t="s">
        <v>118</v>
      </c>
      <c r="AB189" s="31" t="s">
        <v>721</v>
      </c>
      <c r="AC189" s="31">
        <v>7222377407</v>
      </c>
      <c r="AD189" s="31">
        <v>7222720222</v>
      </c>
    </row>
    <row r="190" spans="1:30" x14ac:dyDescent="0.2">
      <c r="A190" s="26">
        <v>11251</v>
      </c>
      <c r="B190" s="26">
        <f>VLOOKUP(A190,Hoja1!A:A,1,FALSE)</f>
        <v>11251</v>
      </c>
      <c r="C190" s="27" t="s">
        <v>2026</v>
      </c>
      <c r="D190" s="32" t="s">
        <v>488</v>
      </c>
      <c r="E190" s="29" t="s">
        <v>10</v>
      </c>
      <c r="F190" s="29" t="s">
        <v>10</v>
      </c>
      <c r="G190" s="30">
        <v>36401</v>
      </c>
      <c r="H190" s="26" t="s">
        <v>49</v>
      </c>
      <c r="I190" s="26" t="s">
        <v>110</v>
      </c>
      <c r="J190" s="26" t="s">
        <v>110</v>
      </c>
      <c r="K190" s="26">
        <v>5989</v>
      </c>
      <c r="L190" s="31" t="s">
        <v>2429</v>
      </c>
      <c r="M190" s="26">
        <v>6073</v>
      </c>
      <c r="N190" s="31" t="s">
        <v>714</v>
      </c>
      <c r="O190" s="26">
        <v>7226910446</v>
      </c>
      <c r="P190" s="29" t="s">
        <v>2181</v>
      </c>
      <c r="Q190" s="31" t="s">
        <v>11</v>
      </c>
      <c r="R190" s="26" t="s">
        <v>2211</v>
      </c>
      <c r="S190" s="31" t="s">
        <v>2214</v>
      </c>
      <c r="T190" s="26" t="s">
        <v>19</v>
      </c>
      <c r="U190" s="31" t="s">
        <v>2253</v>
      </c>
      <c r="V190" s="31" t="s">
        <v>722</v>
      </c>
      <c r="W190" s="31" t="s">
        <v>723</v>
      </c>
      <c r="X190" s="31" t="s">
        <v>532</v>
      </c>
      <c r="Y190" s="31">
        <v>1120</v>
      </c>
      <c r="Z190" s="31" t="s">
        <v>57</v>
      </c>
      <c r="AA190" s="31" t="s">
        <v>57</v>
      </c>
      <c r="AB190" s="31" t="s">
        <v>724</v>
      </c>
      <c r="AC190" s="31">
        <v>5552761938</v>
      </c>
      <c r="AD190" s="31">
        <v>5552762020</v>
      </c>
    </row>
    <row r="191" spans="1:30" x14ac:dyDescent="0.2">
      <c r="A191" s="26">
        <v>11320</v>
      </c>
      <c r="B191" s="26">
        <f>VLOOKUP(A191,Hoja1!A:A,1,FALSE)</f>
        <v>11320</v>
      </c>
      <c r="C191" s="27" t="s">
        <v>2027</v>
      </c>
      <c r="D191" s="32" t="s">
        <v>488</v>
      </c>
      <c r="E191" s="29" t="s">
        <v>10</v>
      </c>
      <c r="F191" s="29" t="s">
        <v>10</v>
      </c>
      <c r="G191" s="30">
        <v>36752</v>
      </c>
      <c r="H191" s="26" t="s">
        <v>49</v>
      </c>
      <c r="I191" s="26" t="s">
        <v>110</v>
      </c>
      <c r="J191" s="26" t="s">
        <v>110</v>
      </c>
      <c r="K191" s="26">
        <v>59398</v>
      </c>
      <c r="L191" s="31" t="s">
        <v>2430</v>
      </c>
      <c r="M191" s="26">
        <v>6073</v>
      </c>
      <c r="N191" s="31" t="s">
        <v>714</v>
      </c>
      <c r="O191" s="26">
        <v>7226910446</v>
      </c>
      <c r="P191" s="29" t="s">
        <v>2181</v>
      </c>
      <c r="Q191" s="31" t="s">
        <v>11</v>
      </c>
      <c r="R191" s="26" t="s">
        <v>2211</v>
      </c>
      <c r="S191" s="31" t="s">
        <v>2214</v>
      </c>
      <c r="T191" s="26" t="s">
        <v>19</v>
      </c>
      <c r="U191" s="31" t="s">
        <v>2253</v>
      </c>
      <c r="V191" s="31" t="s">
        <v>725</v>
      </c>
      <c r="W191" s="31" t="s">
        <v>726</v>
      </c>
      <c r="X191" s="31" t="s">
        <v>99</v>
      </c>
      <c r="Y191" s="31">
        <v>52000</v>
      </c>
      <c r="Z191" s="31" t="s">
        <v>717</v>
      </c>
      <c r="AA191" s="31" t="s">
        <v>118</v>
      </c>
      <c r="AB191" s="31" t="s">
        <v>727</v>
      </c>
      <c r="AC191" s="31">
        <v>7282823737</v>
      </c>
      <c r="AD191" s="31">
        <v>7282823737</v>
      </c>
    </row>
    <row r="192" spans="1:30" x14ac:dyDescent="0.2">
      <c r="A192" s="26">
        <v>11419</v>
      </c>
      <c r="B192" s="26">
        <f>VLOOKUP(A192,Hoja1!A:A,1,FALSE)</f>
        <v>11419</v>
      </c>
      <c r="C192" s="27" t="s">
        <v>2028</v>
      </c>
      <c r="D192" s="32" t="s">
        <v>488</v>
      </c>
      <c r="E192" s="29" t="s">
        <v>10</v>
      </c>
      <c r="F192" s="29" t="s">
        <v>10</v>
      </c>
      <c r="G192" s="30">
        <v>37762</v>
      </c>
      <c r="H192" s="26" t="s">
        <v>49</v>
      </c>
      <c r="I192" s="26" t="s">
        <v>110</v>
      </c>
      <c r="J192" s="26" t="s">
        <v>110</v>
      </c>
      <c r="K192" s="26">
        <v>25503</v>
      </c>
      <c r="L192" s="31" t="s">
        <v>2431</v>
      </c>
      <c r="M192" s="26">
        <v>6073</v>
      </c>
      <c r="N192" s="31" t="s">
        <v>714</v>
      </c>
      <c r="O192" s="26">
        <v>7226910446</v>
      </c>
      <c r="P192" s="29" t="s">
        <v>2181</v>
      </c>
      <c r="Q192" s="31" t="s">
        <v>11</v>
      </c>
      <c r="R192" s="26" t="s">
        <v>2211</v>
      </c>
      <c r="S192" s="31" t="s">
        <v>2214</v>
      </c>
      <c r="T192" s="26" t="s">
        <v>19</v>
      </c>
      <c r="U192" s="31" t="s">
        <v>2253</v>
      </c>
      <c r="V192" s="31" t="s">
        <v>728</v>
      </c>
      <c r="W192" s="31" t="s">
        <v>729</v>
      </c>
      <c r="X192" s="31" t="s">
        <v>99</v>
      </c>
      <c r="Y192" s="31">
        <v>50200</v>
      </c>
      <c r="Z192" s="31" t="s">
        <v>717</v>
      </c>
      <c r="AA192" s="31" t="s">
        <v>118</v>
      </c>
      <c r="AB192" s="31" t="s">
        <v>730</v>
      </c>
      <c r="AC192" s="31">
        <v>7222101018</v>
      </c>
      <c r="AD192" s="31">
        <v>7222101001</v>
      </c>
    </row>
    <row r="193" spans="1:30" x14ac:dyDescent="0.2">
      <c r="A193" s="26">
        <v>11420</v>
      </c>
      <c r="B193" s="26">
        <f>VLOOKUP(A193,Hoja1!A:A,1,FALSE)</f>
        <v>11420</v>
      </c>
      <c r="C193" s="27" t="s">
        <v>2029</v>
      </c>
      <c r="D193" s="32" t="s">
        <v>488</v>
      </c>
      <c r="E193" s="29" t="s">
        <v>10</v>
      </c>
      <c r="F193" s="29" t="s">
        <v>10</v>
      </c>
      <c r="G193" s="30">
        <v>37870</v>
      </c>
      <c r="H193" s="26" t="s">
        <v>49</v>
      </c>
      <c r="I193" s="26" t="s">
        <v>110</v>
      </c>
      <c r="J193" s="26" t="s">
        <v>110</v>
      </c>
      <c r="K193" s="26">
        <v>6062</v>
      </c>
      <c r="L193" s="31" t="s">
        <v>2432</v>
      </c>
      <c r="M193" s="26">
        <v>6073</v>
      </c>
      <c r="N193" s="31" t="s">
        <v>714</v>
      </c>
      <c r="O193" s="26">
        <v>7226910446</v>
      </c>
      <c r="P193" s="29" t="s">
        <v>2181</v>
      </c>
      <c r="Q193" s="31" t="s">
        <v>11</v>
      </c>
      <c r="R193" s="26" t="s">
        <v>2211</v>
      </c>
      <c r="S193" s="31" t="s">
        <v>2214</v>
      </c>
      <c r="T193" s="26" t="s">
        <v>19</v>
      </c>
      <c r="U193" s="31" t="s">
        <v>2253</v>
      </c>
      <c r="V193" s="31" t="s">
        <v>731</v>
      </c>
      <c r="W193" s="31" t="s">
        <v>732</v>
      </c>
      <c r="X193" s="31" t="s">
        <v>99</v>
      </c>
      <c r="Y193" s="31">
        <v>61513</v>
      </c>
      <c r="Z193" s="31" t="s">
        <v>733</v>
      </c>
      <c r="AA193" s="31" t="s">
        <v>734</v>
      </c>
      <c r="AB193" s="31" t="s">
        <v>735</v>
      </c>
      <c r="AC193" s="31">
        <v>7151567021</v>
      </c>
      <c r="AD193" s="31">
        <v>7151567025</v>
      </c>
    </row>
    <row r="194" spans="1:30" x14ac:dyDescent="0.2">
      <c r="A194" s="26">
        <v>11463</v>
      </c>
      <c r="B194" s="26">
        <f>VLOOKUP(A194,Hoja1!A:A,1,FALSE)</f>
        <v>11463</v>
      </c>
      <c r="C194" s="27" t="s">
        <v>2030</v>
      </c>
      <c r="D194" s="32" t="s">
        <v>488</v>
      </c>
      <c r="E194" s="29" t="s">
        <v>10</v>
      </c>
      <c r="F194" s="29" t="s">
        <v>10</v>
      </c>
      <c r="G194" s="30">
        <v>36161</v>
      </c>
      <c r="H194" s="26" t="s">
        <v>49</v>
      </c>
      <c r="I194" s="26" t="s">
        <v>110</v>
      </c>
      <c r="J194" s="26" t="s">
        <v>110</v>
      </c>
      <c r="K194" s="26">
        <v>29200</v>
      </c>
      <c r="L194" s="31" t="s">
        <v>2433</v>
      </c>
      <c r="M194" s="26">
        <v>6073</v>
      </c>
      <c r="N194" s="31" t="s">
        <v>714</v>
      </c>
      <c r="O194" s="26">
        <v>7226910446</v>
      </c>
      <c r="P194" s="29" t="s">
        <v>2181</v>
      </c>
      <c r="Q194" s="31" t="s">
        <v>11</v>
      </c>
      <c r="R194" s="26" t="s">
        <v>2211</v>
      </c>
      <c r="S194" s="31" t="s">
        <v>2214</v>
      </c>
      <c r="T194" s="26" t="s">
        <v>19</v>
      </c>
      <c r="U194" s="31" t="s">
        <v>2253</v>
      </c>
      <c r="V194" s="31" t="s">
        <v>736</v>
      </c>
      <c r="W194" s="31" t="s">
        <v>737</v>
      </c>
      <c r="X194" s="31" t="s">
        <v>99</v>
      </c>
      <c r="Y194" s="31">
        <v>52172</v>
      </c>
      <c r="Z194" s="31" t="s">
        <v>717</v>
      </c>
      <c r="AA194" s="31" t="s">
        <v>118</v>
      </c>
      <c r="AB194" s="31" t="s">
        <v>738</v>
      </c>
      <c r="AC194" s="31">
        <v>7222716629</v>
      </c>
      <c r="AD194" s="31">
        <v>7222716633</v>
      </c>
    </row>
    <row r="195" spans="1:30" x14ac:dyDescent="0.2">
      <c r="A195" s="26">
        <v>11601</v>
      </c>
      <c r="B195" s="26">
        <f>VLOOKUP(A195,Hoja1!A:A,1,FALSE)</f>
        <v>11601</v>
      </c>
      <c r="C195" s="27" t="s">
        <v>2031</v>
      </c>
      <c r="D195" s="32" t="s">
        <v>488</v>
      </c>
      <c r="E195" s="29" t="s">
        <v>10</v>
      </c>
      <c r="F195" s="29" t="s">
        <v>10</v>
      </c>
      <c r="G195" s="30">
        <v>42668</v>
      </c>
      <c r="H195" s="26" t="s">
        <v>49</v>
      </c>
      <c r="I195" s="26" t="s">
        <v>110</v>
      </c>
      <c r="J195" s="26" t="s">
        <v>110</v>
      </c>
      <c r="K195" s="26">
        <v>29199</v>
      </c>
      <c r="L195" s="31" t="s">
        <v>2434</v>
      </c>
      <c r="M195" s="26">
        <v>6073</v>
      </c>
      <c r="N195" s="31" t="s">
        <v>714</v>
      </c>
      <c r="O195" s="26">
        <v>7226910446</v>
      </c>
      <c r="P195" s="29" t="s">
        <v>2181</v>
      </c>
      <c r="Q195" s="31" t="s">
        <v>11</v>
      </c>
      <c r="R195" s="26" t="s">
        <v>2211</v>
      </c>
      <c r="S195" s="31" t="s">
        <v>2214</v>
      </c>
      <c r="T195" s="26" t="s">
        <v>19</v>
      </c>
      <c r="U195" s="31" t="s">
        <v>2253</v>
      </c>
      <c r="V195" s="31" t="s">
        <v>739</v>
      </c>
      <c r="W195" s="31" t="s">
        <v>740</v>
      </c>
      <c r="X195" s="31" t="s">
        <v>544</v>
      </c>
      <c r="Y195" s="31">
        <v>5320</v>
      </c>
      <c r="Z195" s="31" t="s">
        <v>118</v>
      </c>
      <c r="AA195" s="31" t="s">
        <v>118</v>
      </c>
      <c r="AB195" s="31" t="s">
        <v>741</v>
      </c>
      <c r="AC195" s="31">
        <v>5581645552</v>
      </c>
      <c r="AD195" s="31">
        <v>5581645552</v>
      </c>
    </row>
    <row r="196" spans="1:30" x14ac:dyDescent="0.2">
      <c r="A196" s="26">
        <v>11955</v>
      </c>
      <c r="B196" s="26">
        <f>VLOOKUP(A196,Hoja1!A:A,1,FALSE)</f>
        <v>11955</v>
      </c>
      <c r="C196" s="27" t="s">
        <v>2032</v>
      </c>
      <c r="D196" s="32" t="s">
        <v>488</v>
      </c>
      <c r="E196" s="29" t="s">
        <v>10</v>
      </c>
      <c r="F196" s="29" t="s">
        <v>10</v>
      </c>
      <c r="G196" s="30">
        <v>42164</v>
      </c>
      <c r="H196" s="26" t="s">
        <v>49</v>
      </c>
      <c r="I196" s="26" t="s">
        <v>50</v>
      </c>
      <c r="J196" s="26" t="s">
        <v>153</v>
      </c>
      <c r="K196" s="26">
        <v>25755</v>
      </c>
      <c r="L196" s="31" t="s">
        <v>2435</v>
      </c>
      <c r="M196" s="26">
        <v>6073</v>
      </c>
      <c r="N196" s="31" t="s">
        <v>714</v>
      </c>
      <c r="O196" s="26">
        <v>7226910446</v>
      </c>
      <c r="P196" s="29" t="s">
        <v>2181</v>
      </c>
      <c r="Q196" s="31" t="s">
        <v>11</v>
      </c>
      <c r="R196" s="26" t="s">
        <v>2211</v>
      </c>
      <c r="S196" s="31" t="s">
        <v>2214</v>
      </c>
      <c r="T196" s="26" t="s">
        <v>19</v>
      </c>
      <c r="U196" s="31" t="s">
        <v>2253</v>
      </c>
      <c r="V196" s="31" t="s">
        <v>742</v>
      </c>
      <c r="W196" s="31" t="s">
        <v>743</v>
      </c>
      <c r="X196" s="31" t="s">
        <v>99</v>
      </c>
      <c r="Y196" s="31">
        <v>50160</v>
      </c>
      <c r="Z196" s="31" t="s">
        <v>717</v>
      </c>
      <c r="AA196" s="31" t="s">
        <v>118</v>
      </c>
      <c r="AB196" s="31" t="s">
        <v>744</v>
      </c>
      <c r="AC196" s="31">
        <v>7221802800</v>
      </c>
      <c r="AD196" s="31">
        <v>7221802800</v>
      </c>
    </row>
    <row r="197" spans="1:30" x14ac:dyDescent="0.2">
      <c r="A197" s="26">
        <v>11021</v>
      </c>
      <c r="B197" s="26">
        <f>VLOOKUP(A197,Hoja1!A:A,1,FALSE)</f>
        <v>11021</v>
      </c>
      <c r="C197" s="27" t="s">
        <v>1978</v>
      </c>
      <c r="D197" s="32" t="s">
        <v>488</v>
      </c>
      <c r="E197" s="29" t="s">
        <v>10</v>
      </c>
      <c r="F197" s="29" t="s">
        <v>10</v>
      </c>
      <c r="G197" s="30">
        <v>33336</v>
      </c>
      <c r="H197" s="26" t="s">
        <v>49</v>
      </c>
      <c r="I197" s="26" t="s">
        <v>110</v>
      </c>
      <c r="J197" s="26" t="s">
        <v>110</v>
      </c>
      <c r="K197" s="26">
        <v>8315</v>
      </c>
      <c r="L197" s="31" t="s">
        <v>2368</v>
      </c>
      <c r="M197" s="26">
        <v>6057</v>
      </c>
      <c r="N197" s="31" t="s">
        <v>745</v>
      </c>
      <c r="O197" s="26">
        <v>5579038037</v>
      </c>
      <c r="P197" s="29" t="s">
        <v>2175</v>
      </c>
      <c r="Q197" s="31" t="s">
        <v>11</v>
      </c>
      <c r="R197" s="26" t="s">
        <v>2211</v>
      </c>
      <c r="S197" s="31" t="s">
        <v>2214</v>
      </c>
      <c r="T197" s="26" t="s">
        <v>19</v>
      </c>
      <c r="U197" s="31" t="s">
        <v>2253</v>
      </c>
      <c r="V197" s="31" t="s">
        <v>530</v>
      </c>
      <c r="W197" s="31" t="s">
        <v>531</v>
      </c>
      <c r="X197" s="31" t="s">
        <v>532</v>
      </c>
      <c r="Y197" s="31">
        <v>5129</v>
      </c>
      <c r="Z197" s="31" t="s">
        <v>57</v>
      </c>
      <c r="AA197" s="31" t="s">
        <v>57</v>
      </c>
      <c r="AB197" s="31" t="s">
        <v>533</v>
      </c>
      <c r="AC197" s="31">
        <v>5575862077</v>
      </c>
      <c r="AD197" s="31">
        <v>5555967244</v>
      </c>
    </row>
    <row r="198" spans="1:30" x14ac:dyDescent="0.2">
      <c r="A198" s="26">
        <v>11029</v>
      </c>
      <c r="B198" s="26">
        <f>VLOOKUP(A198,Hoja1!A:A,1,FALSE)</f>
        <v>11029</v>
      </c>
      <c r="C198" s="27" t="s">
        <v>491</v>
      </c>
      <c r="D198" s="32" t="s">
        <v>488</v>
      </c>
      <c r="E198" s="29" t="s">
        <v>10</v>
      </c>
      <c r="F198" s="29" t="s">
        <v>10</v>
      </c>
      <c r="G198" s="30">
        <v>33451</v>
      </c>
      <c r="H198" s="26" t="s">
        <v>49</v>
      </c>
      <c r="I198" s="26" t="s">
        <v>110</v>
      </c>
      <c r="J198" s="26" t="s">
        <v>110</v>
      </c>
      <c r="K198" s="26" t="s">
        <v>395</v>
      </c>
      <c r="L198" s="31" t="s">
        <v>395</v>
      </c>
      <c r="M198" s="26">
        <v>6057</v>
      </c>
      <c r="N198" s="31" t="s">
        <v>745</v>
      </c>
      <c r="O198" s="26">
        <v>5579038037</v>
      </c>
      <c r="P198" s="29" t="s">
        <v>2175</v>
      </c>
      <c r="Q198" s="31" t="s">
        <v>11</v>
      </c>
      <c r="R198" s="26" t="s">
        <v>2211</v>
      </c>
      <c r="S198" s="31" t="s">
        <v>2214</v>
      </c>
      <c r="T198" s="26" t="s">
        <v>19</v>
      </c>
      <c r="U198" s="31" t="s">
        <v>2253</v>
      </c>
      <c r="V198" s="31" t="s">
        <v>534</v>
      </c>
      <c r="W198" s="31" t="s">
        <v>491</v>
      </c>
      <c r="X198" s="31" t="s">
        <v>532</v>
      </c>
      <c r="Y198" s="31">
        <v>5210</v>
      </c>
      <c r="Z198" s="31" t="s">
        <v>57</v>
      </c>
      <c r="AA198" s="31" t="s">
        <v>57</v>
      </c>
      <c r="AB198" s="31" t="s">
        <v>535</v>
      </c>
      <c r="AC198" s="31">
        <v>5558138978</v>
      </c>
      <c r="AD198" s="31">
        <v>5558130966</v>
      </c>
    </row>
    <row r="199" spans="1:30" x14ac:dyDescent="0.2">
      <c r="A199" s="26">
        <v>11172</v>
      </c>
      <c r="B199" s="26">
        <f>VLOOKUP(A199,Hoja1!A:A,1,FALSE)</f>
        <v>11172</v>
      </c>
      <c r="C199" s="27" t="s">
        <v>553</v>
      </c>
      <c r="D199" s="32" t="s">
        <v>488</v>
      </c>
      <c r="E199" s="29" t="s">
        <v>10</v>
      </c>
      <c r="F199" s="29" t="s">
        <v>10</v>
      </c>
      <c r="G199" s="30">
        <v>35923</v>
      </c>
      <c r="H199" s="26" t="s">
        <v>49</v>
      </c>
      <c r="I199" s="26" t="s">
        <v>110</v>
      </c>
      <c r="J199" s="26" t="s">
        <v>110</v>
      </c>
      <c r="K199" s="26">
        <v>113122</v>
      </c>
      <c r="L199" s="31" t="s">
        <v>2369</v>
      </c>
      <c r="M199" s="26">
        <v>6057</v>
      </c>
      <c r="N199" s="31" t="s">
        <v>745</v>
      </c>
      <c r="O199" s="26">
        <v>5579038037</v>
      </c>
      <c r="P199" s="29" t="s">
        <v>2175</v>
      </c>
      <c r="Q199" s="31" t="s">
        <v>11</v>
      </c>
      <c r="R199" s="26" t="s">
        <v>2211</v>
      </c>
      <c r="S199" s="31" t="s">
        <v>2214</v>
      </c>
      <c r="T199" s="26" t="s">
        <v>19</v>
      </c>
      <c r="U199" s="31" t="s">
        <v>2253</v>
      </c>
      <c r="V199" s="31" t="s">
        <v>536</v>
      </c>
      <c r="W199" s="31" t="s">
        <v>537</v>
      </c>
      <c r="X199" s="31" t="s">
        <v>532</v>
      </c>
      <c r="Y199" s="31">
        <v>1330</v>
      </c>
      <c r="Z199" s="31" t="s">
        <v>57</v>
      </c>
      <c r="AA199" s="31" t="s">
        <v>57</v>
      </c>
      <c r="AB199" s="31" t="s">
        <v>538</v>
      </c>
      <c r="AC199" s="31">
        <v>5552921935</v>
      </c>
      <c r="AD199" s="31">
        <v>5552921789</v>
      </c>
    </row>
    <row r="200" spans="1:30" x14ac:dyDescent="0.2">
      <c r="A200" s="26">
        <v>11335</v>
      </c>
      <c r="B200" s="26">
        <f>VLOOKUP(A200,Hoja1!A:A,1,FALSE)</f>
        <v>11335</v>
      </c>
      <c r="C200" s="27" t="s">
        <v>1979</v>
      </c>
      <c r="D200" s="32" t="s">
        <v>488</v>
      </c>
      <c r="E200" s="29" t="s">
        <v>10</v>
      </c>
      <c r="F200" s="29" t="s">
        <v>10</v>
      </c>
      <c r="G200" s="30">
        <v>36833</v>
      </c>
      <c r="H200" s="26" t="s">
        <v>49</v>
      </c>
      <c r="I200" s="26" t="s">
        <v>110</v>
      </c>
      <c r="J200" s="26" t="s">
        <v>110</v>
      </c>
      <c r="K200" s="26">
        <v>108337</v>
      </c>
      <c r="L200" s="31" t="s">
        <v>2370</v>
      </c>
      <c r="M200" s="26">
        <v>6057</v>
      </c>
      <c r="N200" s="31" t="s">
        <v>745</v>
      </c>
      <c r="O200" s="26">
        <v>5579038037</v>
      </c>
      <c r="P200" s="29" t="s">
        <v>2175</v>
      </c>
      <c r="Q200" s="31" t="s">
        <v>11</v>
      </c>
      <c r="R200" s="26" t="s">
        <v>2211</v>
      </c>
      <c r="S200" s="31" t="s">
        <v>2214</v>
      </c>
      <c r="T200" s="26" t="s">
        <v>19</v>
      </c>
      <c r="U200" s="31" t="s">
        <v>2253</v>
      </c>
      <c r="V200" s="31" t="s">
        <v>539</v>
      </c>
      <c r="W200" s="31" t="s">
        <v>540</v>
      </c>
      <c r="X200" s="31" t="s">
        <v>541</v>
      </c>
      <c r="Y200" s="31">
        <v>52780</v>
      </c>
      <c r="Z200" s="31" t="s">
        <v>118</v>
      </c>
      <c r="AA200" s="31" t="s">
        <v>118</v>
      </c>
      <c r="AB200" s="31" t="s">
        <v>542</v>
      </c>
      <c r="AC200" s="31">
        <v>5552904335</v>
      </c>
      <c r="AD200" s="31">
        <v>5552904141</v>
      </c>
    </row>
    <row r="201" spans="1:30" x14ac:dyDescent="0.2">
      <c r="A201" s="26">
        <v>11447</v>
      </c>
      <c r="B201" s="26">
        <f>VLOOKUP(A201,Hoja1!A:A,1,FALSE)</f>
        <v>11447</v>
      </c>
      <c r="C201" s="27" t="s">
        <v>544</v>
      </c>
      <c r="D201" s="32" t="s">
        <v>488</v>
      </c>
      <c r="E201" s="29" t="s">
        <v>10</v>
      </c>
      <c r="F201" s="29" t="s">
        <v>10</v>
      </c>
      <c r="G201" s="30">
        <v>38271</v>
      </c>
      <c r="H201" s="26" t="s">
        <v>49</v>
      </c>
      <c r="I201" s="26" t="s">
        <v>110</v>
      </c>
      <c r="J201" s="26" t="s">
        <v>110</v>
      </c>
      <c r="K201" s="26">
        <v>5070</v>
      </c>
      <c r="L201" s="31" t="s">
        <v>2371</v>
      </c>
      <c r="M201" s="26">
        <v>6057</v>
      </c>
      <c r="N201" s="31" t="s">
        <v>745</v>
      </c>
      <c r="O201" s="26">
        <v>5579038037</v>
      </c>
      <c r="P201" s="29" t="s">
        <v>2175</v>
      </c>
      <c r="Q201" s="31" t="s">
        <v>11</v>
      </c>
      <c r="R201" s="26" t="s">
        <v>2211</v>
      </c>
      <c r="S201" s="31" t="s">
        <v>2214</v>
      </c>
      <c r="T201" s="26" t="s">
        <v>19</v>
      </c>
      <c r="U201" s="31" t="s">
        <v>2253</v>
      </c>
      <c r="V201" s="31" t="s">
        <v>543</v>
      </c>
      <c r="W201" s="31" t="s">
        <v>544</v>
      </c>
      <c r="X201" s="31" t="s">
        <v>544</v>
      </c>
      <c r="Y201" s="31">
        <v>5000</v>
      </c>
      <c r="Z201" s="31" t="s">
        <v>57</v>
      </c>
      <c r="AA201" s="31" t="s">
        <v>57</v>
      </c>
      <c r="AB201" s="31" t="s">
        <v>545</v>
      </c>
      <c r="AC201" s="31">
        <v>5521631380</v>
      </c>
      <c r="AD201" s="31">
        <v>5521632121</v>
      </c>
    </row>
    <row r="202" spans="1:30" x14ac:dyDescent="0.2">
      <c r="A202" s="26">
        <v>11530</v>
      </c>
      <c r="B202" s="26">
        <f>VLOOKUP(A202,Hoja1!A:A,1,FALSE)</f>
        <v>11530</v>
      </c>
      <c r="C202" s="27" t="s">
        <v>1980</v>
      </c>
      <c r="D202" s="32" t="s">
        <v>488</v>
      </c>
      <c r="E202" s="29" t="s">
        <v>10</v>
      </c>
      <c r="F202" s="29" t="s">
        <v>10</v>
      </c>
      <c r="G202" s="30">
        <v>39718</v>
      </c>
      <c r="H202" s="26" t="s">
        <v>49</v>
      </c>
      <c r="I202" s="26" t="s">
        <v>110</v>
      </c>
      <c r="J202" s="26" t="s">
        <v>110</v>
      </c>
      <c r="K202" s="26">
        <v>129929</v>
      </c>
      <c r="L202" s="31" t="s">
        <v>2372</v>
      </c>
      <c r="M202" s="26">
        <v>6057</v>
      </c>
      <c r="N202" s="31" t="s">
        <v>745</v>
      </c>
      <c r="O202" s="26">
        <v>5579038037</v>
      </c>
      <c r="P202" s="29" t="s">
        <v>2175</v>
      </c>
      <c r="Q202" s="31" t="s">
        <v>11</v>
      </c>
      <c r="R202" s="26" t="s">
        <v>2211</v>
      </c>
      <c r="S202" s="31" t="s">
        <v>2214</v>
      </c>
      <c r="T202" s="26" t="s">
        <v>19</v>
      </c>
      <c r="U202" s="31" t="s">
        <v>2253</v>
      </c>
      <c r="V202" s="31" t="s">
        <v>546</v>
      </c>
      <c r="W202" s="31" t="s">
        <v>547</v>
      </c>
      <c r="X202" s="31" t="s">
        <v>99</v>
      </c>
      <c r="Y202" s="31">
        <v>52764</v>
      </c>
      <c r="Z202" s="31" t="s">
        <v>541</v>
      </c>
      <c r="AA202" s="31" t="s">
        <v>118</v>
      </c>
      <c r="AB202" s="31" t="s">
        <v>548</v>
      </c>
      <c r="AC202" s="31">
        <v>5552417100</v>
      </c>
      <c r="AD202" s="31">
        <v>5552474090</v>
      </c>
    </row>
    <row r="203" spans="1:30" x14ac:dyDescent="0.2">
      <c r="A203" s="26">
        <v>11565</v>
      </c>
      <c r="B203" s="26">
        <f>VLOOKUP(A203,Hoja1!A:A,1,FALSE)</f>
        <v>11565</v>
      </c>
      <c r="C203" s="27" t="s">
        <v>1981</v>
      </c>
      <c r="D203" s="32" t="s">
        <v>488</v>
      </c>
      <c r="E203" s="29" t="s">
        <v>10</v>
      </c>
      <c r="F203" s="29" t="s">
        <v>10</v>
      </c>
      <c r="G203" s="30">
        <v>41992</v>
      </c>
      <c r="H203" s="26" t="s">
        <v>49</v>
      </c>
      <c r="I203" s="26" t="s">
        <v>110</v>
      </c>
      <c r="J203" s="26" t="s">
        <v>110</v>
      </c>
      <c r="K203" s="26">
        <v>6118</v>
      </c>
      <c r="L203" s="31" t="s">
        <v>2373</v>
      </c>
      <c r="M203" s="26">
        <v>6057</v>
      </c>
      <c r="N203" s="31" t="s">
        <v>745</v>
      </c>
      <c r="O203" s="26">
        <v>5579038037</v>
      </c>
      <c r="P203" s="29" t="s">
        <v>2175</v>
      </c>
      <c r="Q203" s="31" t="s">
        <v>11</v>
      </c>
      <c r="R203" s="26" t="s">
        <v>2211</v>
      </c>
      <c r="S203" s="31" t="s">
        <v>2214</v>
      </c>
      <c r="T203" s="26" t="s">
        <v>19</v>
      </c>
      <c r="U203" s="31" t="s">
        <v>2253</v>
      </c>
      <c r="V203" s="31" t="s">
        <v>549</v>
      </c>
      <c r="W203" s="31" t="s">
        <v>550</v>
      </c>
      <c r="X203" s="31" t="s">
        <v>544</v>
      </c>
      <c r="Y203" s="31">
        <v>5300</v>
      </c>
      <c r="Z203" s="31" t="s">
        <v>57</v>
      </c>
      <c r="AA203" s="31" t="s">
        <v>57</v>
      </c>
      <c r="AB203" s="31" t="s">
        <v>551</v>
      </c>
      <c r="AC203" s="31">
        <v>5516646790</v>
      </c>
      <c r="AD203" s="31">
        <v>5516646790</v>
      </c>
    </row>
    <row r="204" spans="1:30" x14ac:dyDescent="0.2">
      <c r="A204" s="26">
        <v>11622</v>
      </c>
      <c r="B204" s="26">
        <f>VLOOKUP(A204,Hoja1!A:A,1,FALSE)</f>
        <v>11622</v>
      </c>
      <c r="C204" s="27" t="s">
        <v>1982</v>
      </c>
      <c r="D204" s="32" t="s">
        <v>488</v>
      </c>
      <c r="E204" s="29" t="s">
        <v>10</v>
      </c>
      <c r="F204" s="29" t="s">
        <v>10</v>
      </c>
      <c r="G204" s="30">
        <v>42779</v>
      </c>
      <c r="H204" s="26" t="s">
        <v>49</v>
      </c>
      <c r="I204" s="26" t="s">
        <v>110</v>
      </c>
      <c r="J204" s="26" t="s">
        <v>110</v>
      </c>
      <c r="K204" s="26" t="s">
        <v>395</v>
      </c>
      <c r="L204" s="31" t="s">
        <v>395</v>
      </c>
      <c r="M204" s="26">
        <v>6057</v>
      </c>
      <c r="N204" s="31" t="s">
        <v>745</v>
      </c>
      <c r="O204" s="26">
        <v>5579038037</v>
      </c>
      <c r="P204" s="29" t="s">
        <v>2175</v>
      </c>
      <c r="Q204" s="31" t="s">
        <v>11</v>
      </c>
      <c r="R204" s="26" t="s">
        <v>2211</v>
      </c>
      <c r="S204" s="31" t="s">
        <v>2214</v>
      </c>
      <c r="T204" s="26" t="s">
        <v>19</v>
      </c>
      <c r="U204" s="31" t="s">
        <v>2253</v>
      </c>
      <c r="V204" s="31" t="s">
        <v>552</v>
      </c>
      <c r="W204" s="31" t="s">
        <v>553</v>
      </c>
      <c r="X204" s="31" t="s">
        <v>532</v>
      </c>
      <c r="Y204" s="31">
        <v>1210</v>
      </c>
      <c r="Z204" s="31" t="s">
        <v>57</v>
      </c>
      <c r="AA204" s="31" t="s">
        <v>57</v>
      </c>
      <c r="AB204" s="31" t="s">
        <v>554</v>
      </c>
      <c r="AC204" s="31">
        <v>5555707753</v>
      </c>
      <c r="AD204" s="31">
        <v>5555707753</v>
      </c>
    </row>
    <row r="205" spans="1:30" x14ac:dyDescent="0.2">
      <c r="A205" s="26">
        <v>12365</v>
      </c>
      <c r="B205" s="26">
        <f>VLOOKUP(A205,Hoja1!A:A,1,FALSE)</f>
        <v>12365</v>
      </c>
      <c r="C205" s="27" t="s">
        <v>1945</v>
      </c>
      <c r="D205" s="32" t="s">
        <v>488</v>
      </c>
      <c r="E205" s="29" t="s">
        <v>10</v>
      </c>
      <c r="F205" s="29" t="s">
        <v>10</v>
      </c>
      <c r="G205" s="30">
        <v>43708</v>
      </c>
      <c r="H205" s="26" t="s">
        <v>49</v>
      </c>
      <c r="I205" s="26" t="s">
        <v>110</v>
      </c>
      <c r="J205" s="26" t="s">
        <v>110</v>
      </c>
      <c r="K205" s="26">
        <v>105872</v>
      </c>
      <c r="L205" s="31" t="s">
        <v>2374</v>
      </c>
      <c r="M205" s="26">
        <v>6057</v>
      </c>
      <c r="N205" s="31" t="s">
        <v>745</v>
      </c>
      <c r="O205" s="26">
        <v>5579038037</v>
      </c>
      <c r="P205" s="29" t="s">
        <v>2175</v>
      </c>
      <c r="Q205" s="31" t="s">
        <v>11</v>
      </c>
      <c r="R205" s="26" t="s">
        <v>2211</v>
      </c>
      <c r="S205" s="31" t="s">
        <v>2214</v>
      </c>
      <c r="T205" s="26" t="s">
        <v>19</v>
      </c>
      <c r="U205" s="31" t="s">
        <v>2253</v>
      </c>
      <c r="V205" s="31" t="s">
        <v>2150</v>
      </c>
      <c r="W205" s="31" t="s">
        <v>1945</v>
      </c>
      <c r="X205" s="31" t="s">
        <v>541</v>
      </c>
      <c r="Y205" s="31">
        <v>52774</v>
      </c>
      <c r="Z205" s="31" t="s">
        <v>118</v>
      </c>
      <c r="AA205" s="31" t="s">
        <v>118</v>
      </c>
      <c r="AB205" s="31" t="s">
        <v>1953</v>
      </c>
      <c r="AC205" s="31" t="s">
        <v>2221</v>
      </c>
      <c r="AD205" s="31">
        <v>5544380074</v>
      </c>
    </row>
    <row r="206" spans="1:30" x14ac:dyDescent="0.2">
      <c r="A206" s="26">
        <v>11138</v>
      </c>
      <c r="B206" s="26" t="e">
        <f>VLOOKUP(A206,Hoja1!A:A,1,FALSE)</f>
        <v>#N/A</v>
      </c>
      <c r="C206" s="27" t="s">
        <v>2040</v>
      </c>
      <c r="D206" s="32" t="s">
        <v>771</v>
      </c>
      <c r="E206" s="29" t="s">
        <v>772</v>
      </c>
      <c r="F206" s="29" t="s">
        <v>12</v>
      </c>
      <c r="G206" s="30">
        <v>35061</v>
      </c>
      <c r="H206" s="26" t="s">
        <v>49</v>
      </c>
      <c r="I206" s="26" t="s">
        <v>110</v>
      </c>
      <c r="J206" s="26" t="s">
        <v>110</v>
      </c>
      <c r="K206" s="26">
        <v>28252</v>
      </c>
      <c r="L206" s="31" t="s">
        <v>2041</v>
      </c>
      <c r="M206" s="26">
        <v>4700</v>
      </c>
      <c r="N206" s="31" t="s">
        <v>773</v>
      </c>
      <c r="O206" s="26">
        <v>8331047410</v>
      </c>
      <c r="P206" s="29" t="s">
        <v>2183</v>
      </c>
      <c r="Q206" s="31" t="s">
        <v>13</v>
      </c>
      <c r="R206" s="26" t="s">
        <v>2248</v>
      </c>
      <c r="S206" s="31" t="s">
        <v>2215</v>
      </c>
      <c r="T206" s="26" t="s">
        <v>2254</v>
      </c>
      <c r="U206" s="31" t="s">
        <v>2253</v>
      </c>
      <c r="V206" s="31" t="s">
        <v>2042</v>
      </c>
      <c r="W206" s="31" t="s">
        <v>2043</v>
      </c>
      <c r="X206" s="31" t="s">
        <v>99</v>
      </c>
      <c r="Y206" s="31">
        <v>66450</v>
      </c>
      <c r="Z206" s="31" t="s">
        <v>774</v>
      </c>
      <c r="AA206" s="31" t="s">
        <v>775</v>
      </c>
      <c r="AB206" s="31" t="s">
        <v>2044</v>
      </c>
      <c r="AC206" s="31">
        <v>8183322710</v>
      </c>
      <c r="AD206" s="31">
        <v>8183768509</v>
      </c>
    </row>
    <row r="207" spans="1:30" x14ac:dyDescent="0.2">
      <c r="A207" s="26">
        <v>11229</v>
      </c>
      <c r="B207" s="26">
        <f>VLOOKUP(A207,Hoja1!A:A,1,FALSE)</f>
        <v>11229</v>
      </c>
      <c r="C207" s="27" t="s">
        <v>776</v>
      </c>
      <c r="D207" s="28" t="s">
        <v>771</v>
      </c>
      <c r="E207" s="29" t="s">
        <v>772</v>
      </c>
      <c r="F207" s="29" t="s">
        <v>12</v>
      </c>
      <c r="G207" s="30">
        <v>36234</v>
      </c>
      <c r="H207" s="26" t="s">
        <v>49</v>
      </c>
      <c r="I207" s="26" t="s">
        <v>110</v>
      </c>
      <c r="J207" s="26" t="s">
        <v>110</v>
      </c>
      <c r="K207" s="26">
        <v>27497</v>
      </c>
      <c r="L207" s="31" t="s">
        <v>2045</v>
      </c>
      <c r="M207" s="26">
        <v>4700</v>
      </c>
      <c r="N207" s="31" t="s">
        <v>773</v>
      </c>
      <c r="O207" s="26">
        <v>8331047410</v>
      </c>
      <c r="P207" s="29" t="s">
        <v>2183</v>
      </c>
      <c r="Q207" s="31" t="s">
        <v>13</v>
      </c>
      <c r="R207" s="26" t="s">
        <v>2248</v>
      </c>
      <c r="S207" s="31" t="s">
        <v>2215</v>
      </c>
      <c r="T207" s="26" t="s">
        <v>2254</v>
      </c>
      <c r="U207" s="31" t="s">
        <v>2253</v>
      </c>
      <c r="V207" s="31" t="s">
        <v>777</v>
      </c>
      <c r="W207" s="31" t="s">
        <v>778</v>
      </c>
      <c r="X207" s="31" t="s">
        <v>99</v>
      </c>
      <c r="Y207" s="31">
        <v>66056</v>
      </c>
      <c r="Z207" s="31" t="s">
        <v>779</v>
      </c>
      <c r="AA207" s="31" t="s">
        <v>775</v>
      </c>
      <c r="AB207" s="31" t="s">
        <v>780</v>
      </c>
      <c r="AC207" s="31">
        <v>8183976732</v>
      </c>
      <c r="AD207" s="31">
        <v>8183976733</v>
      </c>
    </row>
    <row r="208" spans="1:30" x14ac:dyDescent="0.2">
      <c r="A208" s="26">
        <v>11260</v>
      </c>
      <c r="B208" s="26">
        <f>VLOOKUP(A208,Hoja1!A:A,1,FALSE)</f>
        <v>11260</v>
      </c>
      <c r="C208" s="27" t="s">
        <v>781</v>
      </c>
      <c r="D208" s="28" t="s">
        <v>771</v>
      </c>
      <c r="E208" s="29" t="s">
        <v>772</v>
      </c>
      <c r="F208" s="29" t="s">
        <v>12</v>
      </c>
      <c r="G208" s="30">
        <v>36458</v>
      </c>
      <c r="H208" s="26" t="s">
        <v>49</v>
      </c>
      <c r="I208" s="26" t="s">
        <v>110</v>
      </c>
      <c r="J208" s="26" t="s">
        <v>110</v>
      </c>
      <c r="K208" s="26">
        <v>133211</v>
      </c>
      <c r="L208" s="31" t="s">
        <v>2046</v>
      </c>
      <c r="M208" s="26">
        <v>4700</v>
      </c>
      <c r="N208" s="31" t="s">
        <v>773</v>
      </c>
      <c r="O208" s="26">
        <v>8331047410</v>
      </c>
      <c r="P208" s="29" t="s">
        <v>2183</v>
      </c>
      <c r="Q208" s="31" t="s">
        <v>13</v>
      </c>
      <c r="R208" s="26" t="s">
        <v>2248</v>
      </c>
      <c r="S208" s="31" t="s">
        <v>2215</v>
      </c>
      <c r="T208" s="26" t="s">
        <v>2254</v>
      </c>
      <c r="U208" s="31" t="s">
        <v>2253</v>
      </c>
      <c r="V208" s="31" t="s">
        <v>782</v>
      </c>
      <c r="W208" s="31" t="s">
        <v>783</v>
      </c>
      <c r="X208" s="31" t="s">
        <v>99</v>
      </c>
      <c r="Y208" s="31">
        <v>66495</v>
      </c>
      <c r="Z208" s="31" t="s">
        <v>774</v>
      </c>
      <c r="AA208" s="31" t="s">
        <v>775</v>
      </c>
      <c r="AB208" s="31" t="s">
        <v>784</v>
      </c>
      <c r="AC208" s="31">
        <v>8123163021</v>
      </c>
      <c r="AD208" s="31">
        <v>8183343468</v>
      </c>
    </row>
    <row r="209" spans="1:30" x14ac:dyDescent="0.2">
      <c r="A209" s="26">
        <v>11281</v>
      </c>
      <c r="B209" s="26">
        <f>VLOOKUP(A209,Hoja1!A:A,1,FALSE)</f>
        <v>11281</v>
      </c>
      <c r="C209" s="27" t="s">
        <v>785</v>
      </c>
      <c r="D209" s="28" t="s">
        <v>771</v>
      </c>
      <c r="E209" s="29" t="s">
        <v>772</v>
      </c>
      <c r="F209" s="29" t="s">
        <v>12</v>
      </c>
      <c r="G209" s="30">
        <v>36517</v>
      </c>
      <c r="H209" s="26" t="s">
        <v>49</v>
      </c>
      <c r="I209" s="26" t="s">
        <v>110</v>
      </c>
      <c r="J209" s="26" t="s">
        <v>110</v>
      </c>
      <c r="K209" s="26">
        <v>22497</v>
      </c>
      <c r="L209" s="31" t="s">
        <v>2047</v>
      </c>
      <c r="M209" s="26">
        <v>4700</v>
      </c>
      <c r="N209" s="31" t="s">
        <v>773</v>
      </c>
      <c r="O209" s="26">
        <v>8331047410</v>
      </c>
      <c r="P209" s="29" t="s">
        <v>2183</v>
      </c>
      <c r="Q209" s="31" t="s">
        <v>13</v>
      </c>
      <c r="R209" s="26" t="s">
        <v>2248</v>
      </c>
      <c r="S209" s="31" t="s">
        <v>2215</v>
      </c>
      <c r="T209" s="26" t="s">
        <v>2254</v>
      </c>
      <c r="U209" s="31" t="s">
        <v>2253</v>
      </c>
      <c r="V209" s="31" t="s">
        <v>786</v>
      </c>
      <c r="W209" s="31" t="s">
        <v>787</v>
      </c>
      <c r="X209" s="31" t="s">
        <v>99</v>
      </c>
      <c r="Y209" s="31">
        <v>66437</v>
      </c>
      <c r="Z209" s="31" t="s">
        <v>774</v>
      </c>
      <c r="AA209" s="31" t="s">
        <v>775</v>
      </c>
      <c r="AB209" s="31" t="s">
        <v>788</v>
      </c>
      <c r="AC209" s="31">
        <v>8183821621</v>
      </c>
      <c r="AD209" s="31">
        <v>8183824595</v>
      </c>
    </row>
    <row r="210" spans="1:30" x14ac:dyDescent="0.2">
      <c r="A210" s="26">
        <v>11421</v>
      </c>
      <c r="B210" s="26">
        <f>VLOOKUP(A210,Hoja1!A:A,1,FALSE)</f>
        <v>11421</v>
      </c>
      <c r="C210" s="27" t="s">
        <v>789</v>
      </c>
      <c r="D210" s="28" t="s">
        <v>771</v>
      </c>
      <c r="E210" s="29" t="s">
        <v>772</v>
      </c>
      <c r="F210" s="29" t="s">
        <v>12</v>
      </c>
      <c r="G210" s="30">
        <v>37874</v>
      </c>
      <c r="H210" s="26" t="s">
        <v>49</v>
      </c>
      <c r="I210" s="26" t="s">
        <v>110</v>
      </c>
      <c r="J210" s="26" t="s">
        <v>110</v>
      </c>
      <c r="K210" s="26">
        <v>119527</v>
      </c>
      <c r="L210" s="31" t="s">
        <v>2048</v>
      </c>
      <c r="M210" s="26">
        <v>4700</v>
      </c>
      <c r="N210" s="31" t="s">
        <v>773</v>
      </c>
      <c r="O210" s="26">
        <v>8331047410</v>
      </c>
      <c r="P210" s="29" t="s">
        <v>2183</v>
      </c>
      <c r="Q210" s="31" t="s">
        <v>13</v>
      </c>
      <c r="R210" s="26" t="s">
        <v>2248</v>
      </c>
      <c r="S210" s="31" t="s">
        <v>2215</v>
      </c>
      <c r="T210" s="26" t="s">
        <v>2254</v>
      </c>
      <c r="U210" s="31" t="s">
        <v>2253</v>
      </c>
      <c r="V210" s="31" t="s">
        <v>790</v>
      </c>
      <c r="W210" s="31" t="s">
        <v>791</v>
      </c>
      <c r="X210" s="31" t="s">
        <v>99</v>
      </c>
      <c r="Y210" s="31">
        <v>66636</v>
      </c>
      <c r="Z210" s="31" t="s">
        <v>789</v>
      </c>
      <c r="AA210" s="31" t="s">
        <v>775</v>
      </c>
      <c r="AB210" s="31" t="s">
        <v>792</v>
      </c>
      <c r="AC210" s="31">
        <v>8123164410</v>
      </c>
      <c r="AD210" s="31">
        <v>8183029600</v>
      </c>
    </row>
    <row r="211" spans="1:30" x14ac:dyDescent="0.2">
      <c r="A211" s="26">
        <v>11525</v>
      </c>
      <c r="B211" s="26">
        <f>VLOOKUP(A211,Hoja1!A:A,1,FALSE)</f>
        <v>11525</v>
      </c>
      <c r="C211" s="27" t="s">
        <v>793</v>
      </c>
      <c r="D211" s="28" t="s">
        <v>771</v>
      </c>
      <c r="E211" s="29" t="s">
        <v>772</v>
      </c>
      <c r="F211" s="29" t="s">
        <v>12</v>
      </c>
      <c r="G211" s="30">
        <v>39654</v>
      </c>
      <c r="H211" s="26" t="s">
        <v>49</v>
      </c>
      <c r="I211" s="26" t="s">
        <v>110</v>
      </c>
      <c r="J211" s="26" t="s">
        <v>110</v>
      </c>
      <c r="K211" s="26">
        <v>99045</v>
      </c>
      <c r="L211" s="31" t="s">
        <v>2049</v>
      </c>
      <c r="M211" s="26">
        <v>4700</v>
      </c>
      <c r="N211" s="31" t="s">
        <v>773</v>
      </c>
      <c r="O211" s="26">
        <v>8331047410</v>
      </c>
      <c r="P211" s="29" t="s">
        <v>2183</v>
      </c>
      <c r="Q211" s="31" t="s">
        <v>13</v>
      </c>
      <c r="R211" s="26" t="s">
        <v>2248</v>
      </c>
      <c r="S211" s="31" t="s">
        <v>2215</v>
      </c>
      <c r="T211" s="26" t="s">
        <v>2254</v>
      </c>
      <c r="U211" s="31" t="s">
        <v>2253</v>
      </c>
      <c r="V211" s="31" t="s">
        <v>794</v>
      </c>
      <c r="W211" s="31" t="s">
        <v>795</v>
      </c>
      <c r="X211" s="31" t="s">
        <v>99</v>
      </c>
      <c r="Y211" s="31">
        <v>66600</v>
      </c>
      <c r="Z211" s="31" t="s">
        <v>789</v>
      </c>
      <c r="AA211" s="31" t="s">
        <v>775</v>
      </c>
      <c r="AB211" s="31" t="s">
        <v>796</v>
      </c>
      <c r="AC211" s="31">
        <v>8183866710</v>
      </c>
      <c r="AD211" s="31">
        <v>8183866710</v>
      </c>
    </row>
    <row r="212" spans="1:30" x14ac:dyDescent="0.2">
      <c r="A212" s="26">
        <v>11904</v>
      </c>
      <c r="B212" s="26">
        <f>VLOOKUP(A212,Hoja1!A:A,1,FALSE)</f>
        <v>11904</v>
      </c>
      <c r="C212" s="27" t="s">
        <v>797</v>
      </c>
      <c r="D212" s="28" t="s">
        <v>771</v>
      </c>
      <c r="E212" s="29" t="s">
        <v>772</v>
      </c>
      <c r="F212" s="29" t="s">
        <v>12</v>
      </c>
      <c r="G212" s="30">
        <v>39703</v>
      </c>
      <c r="H212" s="26" t="s">
        <v>49</v>
      </c>
      <c r="I212" s="26" t="s">
        <v>50</v>
      </c>
      <c r="J212" s="26" t="s">
        <v>87</v>
      </c>
      <c r="K212" s="26">
        <v>124226</v>
      </c>
      <c r="L212" s="31" t="s">
        <v>2050</v>
      </c>
      <c r="M212" s="26">
        <v>4700</v>
      </c>
      <c r="N212" s="31" t="s">
        <v>773</v>
      </c>
      <c r="O212" s="26">
        <v>8331047410</v>
      </c>
      <c r="P212" s="29" t="s">
        <v>2183</v>
      </c>
      <c r="Q212" s="31" t="s">
        <v>13</v>
      </c>
      <c r="R212" s="26" t="s">
        <v>2248</v>
      </c>
      <c r="S212" s="31" t="s">
        <v>2215</v>
      </c>
      <c r="T212" s="26" t="s">
        <v>2254</v>
      </c>
      <c r="U212" s="31" t="s">
        <v>2253</v>
      </c>
      <c r="V212" s="31" t="s">
        <v>798</v>
      </c>
      <c r="W212" s="31" t="s">
        <v>799</v>
      </c>
      <c r="X212" s="31" t="s">
        <v>99</v>
      </c>
      <c r="Y212" s="31">
        <v>66610</v>
      </c>
      <c r="Z212" s="31" t="s">
        <v>789</v>
      </c>
      <c r="AA212" s="31" t="s">
        <v>775</v>
      </c>
      <c r="AB212" s="31" t="s">
        <v>800</v>
      </c>
      <c r="AC212" s="31">
        <v>8115810071</v>
      </c>
      <c r="AD212" s="31">
        <v>8115810071</v>
      </c>
    </row>
    <row r="213" spans="1:30" x14ac:dyDescent="0.2">
      <c r="A213" s="26">
        <v>11151</v>
      </c>
      <c r="B213" s="26">
        <f>VLOOKUP(A213,Hoja1!A:A,1,FALSE)</f>
        <v>11151</v>
      </c>
      <c r="C213" s="27" t="s">
        <v>801</v>
      </c>
      <c r="D213" s="28" t="s">
        <v>771</v>
      </c>
      <c r="E213" s="29" t="s">
        <v>772</v>
      </c>
      <c r="F213" s="29" t="s">
        <v>12</v>
      </c>
      <c r="G213" s="30">
        <v>43439</v>
      </c>
      <c r="H213" s="26" t="s">
        <v>49</v>
      </c>
      <c r="I213" s="26" t="s">
        <v>110</v>
      </c>
      <c r="J213" s="26" t="s">
        <v>110</v>
      </c>
      <c r="K213" s="26">
        <v>43072</v>
      </c>
      <c r="L213" s="31" t="s">
        <v>2103</v>
      </c>
      <c r="M213" s="26">
        <v>4746</v>
      </c>
      <c r="N213" s="31" t="s">
        <v>802</v>
      </c>
      <c r="O213" s="26">
        <v>8123518609</v>
      </c>
      <c r="P213" s="29" t="s">
        <v>2184</v>
      </c>
      <c r="Q213" s="31" t="s">
        <v>13</v>
      </c>
      <c r="R213" s="26" t="s">
        <v>2248</v>
      </c>
      <c r="S213" s="31" t="s">
        <v>2215</v>
      </c>
      <c r="T213" s="26" t="s">
        <v>2254</v>
      </c>
      <c r="U213" s="31" t="s">
        <v>2253</v>
      </c>
      <c r="V213" s="31" t="s">
        <v>803</v>
      </c>
      <c r="W213" s="31" t="s">
        <v>804</v>
      </c>
      <c r="X213" s="31" t="s">
        <v>99</v>
      </c>
      <c r="Y213" s="31">
        <v>34270</v>
      </c>
      <c r="Z213" s="31" t="s">
        <v>805</v>
      </c>
      <c r="AA213" s="31" t="s">
        <v>806</v>
      </c>
      <c r="AB213" s="31" t="s">
        <v>807</v>
      </c>
      <c r="AC213" s="31">
        <v>6188184444</v>
      </c>
      <c r="AD213" s="31">
        <v>6188184444</v>
      </c>
    </row>
    <row r="214" spans="1:30" x14ac:dyDescent="0.2">
      <c r="A214" s="26">
        <v>11201</v>
      </c>
      <c r="B214" s="26">
        <f>VLOOKUP(A214,Hoja1!A:A,1,FALSE)</f>
        <v>11201</v>
      </c>
      <c r="C214" s="27" t="s">
        <v>808</v>
      </c>
      <c r="D214" s="28" t="s">
        <v>771</v>
      </c>
      <c r="E214" s="29" t="s">
        <v>772</v>
      </c>
      <c r="F214" s="29" t="s">
        <v>12</v>
      </c>
      <c r="G214" s="30">
        <v>43439</v>
      </c>
      <c r="H214" s="26" t="s">
        <v>49</v>
      </c>
      <c r="I214" s="26" t="s">
        <v>110</v>
      </c>
      <c r="J214" s="26" t="s">
        <v>110</v>
      </c>
      <c r="K214" s="26">
        <v>43086</v>
      </c>
      <c r="L214" s="31" t="s">
        <v>2051</v>
      </c>
      <c r="M214" s="26">
        <v>4746</v>
      </c>
      <c r="N214" s="31" t="s">
        <v>802</v>
      </c>
      <c r="O214" s="26">
        <v>8123518609</v>
      </c>
      <c r="P214" s="29" t="s">
        <v>2184</v>
      </c>
      <c r="Q214" s="31" t="s">
        <v>13</v>
      </c>
      <c r="R214" s="26" t="s">
        <v>2248</v>
      </c>
      <c r="S214" s="31" t="s">
        <v>2215</v>
      </c>
      <c r="T214" s="26" t="s">
        <v>2254</v>
      </c>
      <c r="U214" s="31" t="s">
        <v>2253</v>
      </c>
      <c r="V214" s="31" t="s">
        <v>809</v>
      </c>
      <c r="W214" s="31" t="s">
        <v>810</v>
      </c>
      <c r="X214" s="31" t="s">
        <v>99</v>
      </c>
      <c r="Y214" s="31">
        <v>34170</v>
      </c>
      <c r="Z214" s="31" t="s">
        <v>805</v>
      </c>
      <c r="AA214" s="31" t="s">
        <v>806</v>
      </c>
      <c r="AB214" s="31" t="s">
        <v>811</v>
      </c>
      <c r="AC214" s="31">
        <v>6188127112</v>
      </c>
      <c r="AD214" s="31">
        <v>6188127112</v>
      </c>
    </row>
    <row r="215" spans="1:30" x14ac:dyDescent="0.2">
      <c r="A215" s="26">
        <v>11567</v>
      </c>
      <c r="B215" s="26">
        <f>VLOOKUP(A215,Hoja1!A:A,1,FALSE)</f>
        <v>11567</v>
      </c>
      <c r="C215" s="27" t="s">
        <v>812</v>
      </c>
      <c r="D215" s="28" t="s">
        <v>771</v>
      </c>
      <c r="E215" s="29" t="s">
        <v>772</v>
      </c>
      <c r="F215" s="29" t="s">
        <v>12</v>
      </c>
      <c r="G215" s="30">
        <v>43439</v>
      </c>
      <c r="H215" s="26" t="s">
        <v>49</v>
      </c>
      <c r="I215" s="26" t="s">
        <v>110</v>
      </c>
      <c r="J215" s="26" t="s">
        <v>110</v>
      </c>
      <c r="K215" s="26">
        <v>43096</v>
      </c>
      <c r="L215" s="31" t="s">
        <v>2104</v>
      </c>
      <c r="M215" s="26">
        <v>4746</v>
      </c>
      <c r="N215" s="31" t="s">
        <v>802</v>
      </c>
      <c r="O215" s="26">
        <v>8123518609</v>
      </c>
      <c r="P215" s="29" t="s">
        <v>2184</v>
      </c>
      <c r="Q215" s="31" t="s">
        <v>13</v>
      </c>
      <c r="R215" s="26" t="s">
        <v>2248</v>
      </c>
      <c r="S215" s="31" t="s">
        <v>2215</v>
      </c>
      <c r="T215" s="26" t="s">
        <v>2254</v>
      </c>
      <c r="U215" s="31" t="s">
        <v>2253</v>
      </c>
      <c r="V215" s="31" t="s">
        <v>813</v>
      </c>
      <c r="W215" s="31" t="s">
        <v>812</v>
      </c>
      <c r="X215" s="31" t="s">
        <v>99</v>
      </c>
      <c r="Y215" s="31">
        <v>34100</v>
      </c>
      <c r="Z215" s="31" t="s">
        <v>805</v>
      </c>
      <c r="AA215" s="31" t="s">
        <v>806</v>
      </c>
      <c r="AB215" s="31" t="s">
        <v>814</v>
      </c>
      <c r="AC215" s="31">
        <v>6181303130</v>
      </c>
      <c r="AD215" s="31">
        <v>6181303130</v>
      </c>
    </row>
    <row r="216" spans="1:30" x14ac:dyDescent="0.2">
      <c r="A216" s="26">
        <v>11888</v>
      </c>
      <c r="B216" s="26">
        <f>VLOOKUP(A216,Hoja1!A:A,1,FALSE)</f>
        <v>11888</v>
      </c>
      <c r="C216" s="27" t="s">
        <v>815</v>
      </c>
      <c r="D216" s="28" t="s">
        <v>771</v>
      </c>
      <c r="E216" s="29" t="s">
        <v>772</v>
      </c>
      <c r="F216" s="29" t="s">
        <v>12</v>
      </c>
      <c r="G216" s="30">
        <v>43439</v>
      </c>
      <c r="H216" s="26" t="s">
        <v>49</v>
      </c>
      <c r="I216" s="26" t="s">
        <v>50</v>
      </c>
      <c r="J216" s="26" t="s">
        <v>153</v>
      </c>
      <c r="K216" s="26">
        <v>43087</v>
      </c>
      <c r="L216" s="31" t="s">
        <v>2105</v>
      </c>
      <c r="M216" s="26">
        <v>4746</v>
      </c>
      <c r="N216" s="31" t="s">
        <v>802</v>
      </c>
      <c r="O216" s="26">
        <v>8123518609</v>
      </c>
      <c r="P216" s="29" t="s">
        <v>2184</v>
      </c>
      <c r="Q216" s="31" t="s">
        <v>13</v>
      </c>
      <c r="R216" s="26" t="s">
        <v>2248</v>
      </c>
      <c r="S216" s="31" t="s">
        <v>2215</v>
      </c>
      <c r="T216" s="26" t="s">
        <v>2254</v>
      </c>
      <c r="U216" s="31" t="s">
        <v>2253</v>
      </c>
      <c r="V216" s="31" t="s">
        <v>816</v>
      </c>
      <c r="W216" s="31" t="s">
        <v>817</v>
      </c>
      <c r="X216" s="31" t="s">
        <v>99</v>
      </c>
      <c r="Y216" s="31">
        <v>34080</v>
      </c>
      <c r="Z216" s="31" t="s">
        <v>805</v>
      </c>
      <c r="AA216" s="31" t="s">
        <v>806</v>
      </c>
      <c r="AB216" s="31" t="s">
        <v>818</v>
      </c>
      <c r="AC216" s="31">
        <v>6181291995</v>
      </c>
      <c r="AD216" s="31">
        <v>6181291995</v>
      </c>
    </row>
    <row r="217" spans="1:30" x14ac:dyDescent="0.2">
      <c r="A217" s="26">
        <v>11074</v>
      </c>
      <c r="B217" s="26">
        <f>VLOOKUP(A217,Hoja1!A:A,1,FALSE)</f>
        <v>11074</v>
      </c>
      <c r="C217" s="27" t="s">
        <v>819</v>
      </c>
      <c r="D217" s="28" t="s">
        <v>771</v>
      </c>
      <c r="E217" s="29" t="s">
        <v>772</v>
      </c>
      <c r="F217" s="29" t="s">
        <v>12</v>
      </c>
      <c r="G217" s="30">
        <v>33833</v>
      </c>
      <c r="H217" s="26" t="s">
        <v>49</v>
      </c>
      <c r="I217" s="26" t="s">
        <v>110</v>
      </c>
      <c r="J217" s="26" t="s">
        <v>110</v>
      </c>
      <c r="K217" s="26">
        <v>27745</v>
      </c>
      <c r="L217" s="31" t="s">
        <v>2052</v>
      </c>
      <c r="M217" s="26">
        <v>3682</v>
      </c>
      <c r="N217" s="31" t="s">
        <v>820</v>
      </c>
      <c r="O217" s="26">
        <v>8115536021</v>
      </c>
      <c r="P217" s="29" t="s">
        <v>2185</v>
      </c>
      <c r="Q217" s="31" t="s">
        <v>13</v>
      </c>
      <c r="R217" s="26" t="s">
        <v>2248</v>
      </c>
      <c r="S217" s="31" t="s">
        <v>2215</v>
      </c>
      <c r="T217" s="26" t="s">
        <v>2254</v>
      </c>
      <c r="U217" s="31" t="s">
        <v>2253</v>
      </c>
      <c r="V217" s="31" t="s">
        <v>821</v>
      </c>
      <c r="W217" s="31" t="s">
        <v>822</v>
      </c>
      <c r="X217" s="31" t="s">
        <v>99</v>
      </c>
      <c r="Y217" s="31">
        <v>25230</v>
      </c>
      <c r="Z217" s="31" t="s">
        <v>823</v>
      </c>
      <c r="AA217" s="31" t="s">
        <v>824</v>
      </c>
      <c r="AB217" s="31" t="s">
        <v>825</v>
      </c>
      <c r="AC217" s="31">
        <v>8444169356</v>
      </c>
      <c r="AD217" s="31">
        <v>8444154884</v>
      </c>
    </row>
    <row r="218" spans="1:30" x14ac:dyDescent="0.2">
      <c r="A218" s="26">
        <v>11231</v>
      </c>
      <c r="B218" s="26">
        <f>VLOOKUP(A218,Hoja1!A:A,1,FALSE)</f>
        <v>11231</v>
      </c>
      <c r="C218" s="27" t="s">
        <v>826</v>
      </c>
      <c r="D218" s="28" t="s">
        <v>771</v>
      </c>
      <c r="E218" s="29" t="s">
        <v>772</v>
      </c>
      <c r="F218" s="29" t="s">
        <v>12</v>
      </c>
      <c r="G218" s="30">
        <v>36325</v>
      </c>
      <c r="H218" s="26" t="s">
        <v>49</v>
      </c>
      <c r="I218" s="26" t="s">
        <v>110</v>
      </c>
      <c r="J218" s="26" t="s">
        <v>110</v>
      </c>
      <c r="K218" s="26">
        <v>46967</v>
      </c>
      <c r="L218" s="31" t="s">
        <v>2053</v>
      </c>
      <c r="M218" s="26">
        <v>3682</v>
      </c>
      <c r="N218" s="31" t="s">
        <v>820</v>
      </c>
      <c r="O218" s="26">
        <v>8115536021</v>
      </c>
      <c r="P218" s="29" t="s">
        <v>2185</v>
      </c>
      <c r="Q218" s="31" t="s">
        <v>13</v>
      </c>
      <c r="R218" s="26" t="s">
        <v>2248</v>
      </c>
      <c r="S218" s="31" t="s">
        <v>2215</v>
      </c>
      <c r="T218" s="26" t="s">
        <v>2254</v>
      </c>
      <c r="U218" s="31" t="s">
        <v>2253</v>
      </c>
      <c r="V218" s="31" t="s">
        <v>827</v>
      </c>
      <c r="W218" s="31" t="s">
        <v>828</v>
      </c>
      <c r="X218" s="31" t="s">
        <v>99</v>
      </c>
      <c r="Y218" s="31">
        <v>25090</v>
      </c>
      <c r="Z218" s="31" t="s">
        <v>823</v>
      </c>
      <c r="AA218" s="31" t="s">
        <v>824</v>
      </c>
      <c r="AB218" s="31" t="s">
        <v>829</v>
      </c>
      <c r="AC218" s="31">
        <v>8444891210</v>
      </c>
      <c r="AD218" s="31">
        <v>8444891210</v>
      </c>
    </row>
    <row r="219" spans="1:30" x14ac:dyDescent="0.2">
      <c r="A219" s="26">
        <v>11284</v>
      </c>
      <c r="B219" s="26">
        <f>VLOOKUP(A219,Hoja1!A:A,1,FALSE)</f>
        <v>11284</v>
      </c>
      <c r="C219" s="27" t="s">
        <v>830</v>
      </c>
      <c r="D219" s="28" t="s">
        <v>771</v>
      </c>
      <c r="E219" s="29" t="s">
        <v>772</v>
      </c>
      <c r="F219" s="29" t="s">
        <v>12</v>
      </c>
      <c r="G219" s="30">
        <v>36584</v>
      </c>
      <c r="H219" s="26" t="s">
        <v>49</v>
      </c>
      <c r="I219" s="26" t="s">
        <v>110</v>
      </c>
      <c r="J219" s="26" t="s">
        <v>110</v>
      </c>
      <c r="K219" s="26">
        <v>43552</v>
      </c>
      <c r="L219" s="31" t="s">
        <v>2075</v>
      </c>
      <c r="M219" s="26">
        <v>3682</v>
      </c>
      <c r="N219" s="31" t="s">
        <v>820</v>
      </c>
      <c r="O219" s="26">
        <v>8115536021</v>
      </c>
      <c r="P219" s="29" t="s">
        <v>2185</v>
      </c>
      <c r="Q219" s="31" t="s">
        <v>13</v>
      </c>
      <c r="R219" s="26" t="s">
        <v>2248</v>
      </c>
      <c r="S219" s="31" t="s">
        <v>2215</v>
      </c>
      <c r="T219" s="26" t="s">
        <v>2254</v>
      </c>
      <c r="U219" s="31" t="s">
        <v>2253</v>
      </c>
      <c r="V219" s="31" t="s">
        <v>831</v>
      </c>
      <c r="W219" s="31" t="s">
        <v>832</v>
      </c>
      <c r="X219" s="31" t="s">
        <v>99</v>
      </c>
      <c r="Y219" s="31">
        <v>66145</v>
      </c>
      <c r="Z219" s="31" t="s">
        <v>833</v>
      </c>
      <c r="AA219" s="31" t="s">
        <v>775</v>
      </c>
      <c r="AB219" s="31" t="s">
        <v>834</v>
      </c>
      <c r="AC219" s="31">
        <v>8183363464</v>
      </c>
      <c r="AD219" s="31">
        <v>8183369081</v>
      </c>
    </row>
    <row r="220" spans="1:30" x14ac:dyDescent="0.2">
      <c r="A220" s="26">
        <v>11341</v>
      </c>
      <c r="B220" s="26">
        <f>VLOOKUP(A220,Hoja1!A:A,1,FALSE)</f>
        <v>11341</v>
      </c>
      <c r="C220" s="27" t="s">
        <v>835</v>
      </c>
      <c r="D220" s="28" t="s">
        <v>771</v>
      </c>
      <c r="E220" s="29" t="s">
        <v>772</v>
      </c>
      <c r="F220" s="29" t="s">
        <v>12</v>
      </c>
      <c r="G220" s="30">
        <v>36758</v>
      </c>
      <c r="H220" s="26" t="s">
        <v>49</v>
      </c>
      <c r="I220" s="26" t="s">
        <v>110</v>
      </c>
      <c r="J220" s="26" t="s">
        <v>110</v>
      </c>
      <c r="K220" s="26">
        <v>26630</v>
      </c>
      <c r="L220" s="31" t="s">
        <v>2055</v>
      </c>
      <c r="M220" s="26">
        <v>3682</v>
      </c>
      <c r="N220" s="31" t="s">
        <v>820</v>
      </c>
      <c r="O220" s="26">
        <v>8115536021</v>
      </c>
      <c r="P220" s="29" t="s">
        <v>2185</v>
      </c>
      <c r="Q220" s="31" t="s">
        <v>13</v>
      </c>
      <c r="R220" s="26" t="s">
        <v>2248</v>
      </c>
      <c r="S220" s="31" t="s">
        <v>2215</v>
      </c>
      <c r="T220" s="26" t="s">
        <v>2254</v>
      </c>
      <c r="U220" s="31" t="s">
        <v>2253</v>
      </c>
      <c r="V220" s="31" t="s">
        <v>836</v>
      </c>
      <c r="W220" s="31" t="s">
        <v>89</v>
      </c>
      <c r="X220" s="31" t="s">
        <v>99</v>
      </c>
      <c r="Y220" s="31">
        <v>25000</v>
      </c>
      <c r="Z220" s="31" t="s">
        <v>823</v>
      </c>
      <c r="AA220" s="31" t="s">
        <v>824</v>
      </c>
      <c r="AB220" s="31" t="s">
        <v>837</v>
      </c>
      <c r="AC220" s="31">
        <v>8444163230</v>
      </c>
      <c r="AD220" s="31">
        <v>8444163230</v>
      </c>
    </row>
    <row r="221" spans="1:30" x14ac:dyDescent="0.2">
      <c r="A221" s="26">
        <v>11422</v>
      </c>
      <c r="B221" s="26">
        <f>VLOOKUP(A221,Hoja1!A:A,1,FALSE)</f>
        <v>11422</v>
      </c>
      <c r="C221" s="27" t="s">
        <v>838</v>
      </c>
      <c r="D221" s="28" t="s">
        <v>771</v>
      </c>
      <c r="E221" s="29" t="s">
        <v>772</v>
      </c>
      <c r="F221" s="29" t="s">
        <v>12</v>
      </c>
      <c r="G221" s="30">
        <v>37866</v>
      </c>
      <c r="H221" s="26" t="s">
        <v>49</v>
      </c>
      <c r="I221" s="26" t="s">
        <v>110</v>
      </c>
      <c r="J221" s="26" t="s">
        <v>110</v>
      </c>
      <c r="K221" s="26">
        <v>21608</v>
      </c>
      <c r="L221" s="31" t="s">
        <v>2056</v>
      </c>
      <c r="M221" s="26">
        <v>3682</v>
      </c>
      <c r="N221" s="31" t="s">
        <v>820</v>
      </c>
      <c r="O221" s="26">
        <v>8115536021</v>
      </c>
      <c r="P221" s="29" t="s">
        <v>2185</v>
      </c>
      <c r="Q221" s="31" t="s">
        <v>13</v>
      </c>
      <c r="R221" s="26" t="s">
        <v>2248</v>
      </c>
      <c r="S221" s="31" t="s">
        <v>2215</v>
      </c>
      <c r="T221" s="26" t="s">
        <v>2254</v>
      </c>
      <c r="U221" s="31" t="s">
        <v>2253</v>
      </c>
      <c r="V221" s="31" t="s">
        <v>839</v>
      </c>
      <c r="W221" s="31" t="s">
        <v>840</v>
      </c>
      <c r="X221" s="31" t="s">
        <v>99</v>
      </c>
      <c r="Y221" s="31">
        <v>66350</v>
      </c>
      <c r="Z221" s="31" t="s">
        <v>833</v>
      </c>
      <c r="AA221" s="31" t="s">
        <v>775</v>
      </c>
      <c r="AB221" s="31" t="s">
        <v>841</v>
      </c>
      <c r="AC221" s="31">
        <v>8183881580</v>
      </c>
      <c r="AD221" s="31">
        <v>8183881580</v>
      </c>
    </row>
    <row r="222" spans="1:30" x14ac:dyDescent="0.2">
      <c r="A222" s="26">
        <v>11423</v>
      </c>
      <c r="B222" s="26">
        <f>VLOOKUP(A222,Hoja1!A:A,1,FALSE)</f>
        <v>11423</v>
      </c>
      <c r="C222" s="27" t="s">
        <v>842</v>
      </c>
      <c r="D222" s="28" t="s">
        <v>771</v>
      </c>
      <c r="E222" s="29" t="s">
        <v>772</v>
      </c>
      <c r="F222" s="29" t="s">
        <v>12</v>
      </c>
      <c r="G222" s="30">
        <v>37855</v>
      </c>
      <c r="H222" s="26" t="s">
        <v>49</v>
      </c>
      <c r="I222" s="26" t="s">
        <v>110</v>
      </c>
      <c r="J222" s="26" t="s">
        <v>110</v>
      </c>
      <c r="K222" s="26">
        <v>23396</v>
      </c>
      <c r="L222" s="31" t="s">
        <v>2106</v>
      </c>
      <c r="M222" s="26">
        <v>3682</v>
      </c>
      <c r="N222" s="31" t="s">
        <v>820</v>
      </c>
      <c r="O222" s="26">
        <v>8115536021</v>
      </c>
      <c r="P222" s="29" t="s">
        <v>2185</v>
      </c>
      <c r="Q222" s="31" t="s">
        <v>13</v>
      </c>
      <c r="R222" s="26" t="s">
        <v>2248</v>
      </c>
      <c r="S222" s="31" t="s">
        <v>2215</v>
      </c>
      <c r="T222" s="26" t="s">
        <v>2254</v>
      </c>
      <c r="U222" s="31" t="s">
        <v>2253</v>
      </c>
      <c r="V222" s="31" t="s">
        <v>843</v>
      </c>
      <c r="W222" s="31" t="s">
        <v>844</v>
      </c>
      <c r="X222" s="31" t="s">
        <v>99</v>
      </c>
      <c r="Y222" s="31">
        <v>25294</v>
      </c>
      <c r="Z222" s="31" t="s">
        <v>823</v>
      </c>
      <c r="AA222" s="31" t="s">
        <v>824</v>
      </c>
      <c r="AB222" s="31" t="s">
        <v>845</v>
      </c>
      <c r="AC222" s="31">
        <v>8444301227</v>
      </c>
      <c r="AD222" s="31">
        <v>8444304501</v>
      </c>
    </row>
    <row r="223" spans="1:30" x14ac:dyDescent="0.2">
      <c r="A223" s="26">
        <v>11606</v>
      </c>
      <c r="B223" s="26">
        <f>VLOOKUP(A223,Hoja1!A:A,1,FALSE)</f>
        <v>11606</v>
      </c>
      <c r="C223" s="27" t="s">
        <v>846</v>
      </c>
      <c r="D223" s="28" t="s">
        <v>771</v>
      </c>
      <c r="E223" s="29" t="s">
        <v>772</v>
      </c>
      <c r="F223" s="29" t="s">
        <v>12</v>
      </c>
      <c r="G223" s="30">
        <v>42724</v>
      </c>
      <c r="H223" s="26" t="s">
        <v>49</v>
      </c>
      <c r="I223" s="26" t="s">
        <v>110</v>
      </c>
      <c r="J223" s="26" t="s">
        <v>110</v>
      </c>
      <c r="K223" s="26">
        <v>136153</v>
      </c>
      <c r="L223" s="31" t="s">
        <v>2057</v>
      </c>
      <c r="M223" s="26">
        <v>3682</v>
      </c>
      <c r="N223" s="31" t="s">
        <v>820</v>
      </c>
      <c r="O223" s="26">
        <v>8115536021</v>
      </c>
      <c r="P223" s="29" t="s">
        <v>2185</v>
      </c>
      <c r="Q223" s="31" t="s">
        <v>13</v>
      </c>
      <c r="R223" s="26" t="s">
        <v>2248</v>
      </c>
      <c r="S223" s="31" t="s">
        <v>2215</v>
      </c>
      <c r="T223" s="26" t="s">
        <v>2254</v>
      </c>
      <c r="U223" s="31" t="s">
        <v>2253</v>
      </c>
      <c r="V223" s="31" t="s">
        <v>847</v>
      </c>
      <c r="W223" s="31" t="s">
        <v>848</v>
      </c>
      <c r="X223" s="31" t="s">
        <v>99</v>
      </c>
      <c r="Y223" s="31">
        <v>25016</v>
      </c>
      <c r="Z223" s="31" t="s">
        <v>823</v>
      </c>
      <c r="AA223" s="31" t="s">
        <v>824</v>
      </c>
      <c r="AB223" s="31" t="s">
        <v>849</v>
      </c>
      <c r="AC223" s="31">
        <v>8444130845</v>
      </c>
      <c r="AD223" s="31">
        <v>8444137770</v>
      </c>
    </row>
    <row r="224" spans="1:30" x14ac:dyDescent="0.2">
      <c r="A224" s="26">
        <v>12309</v>
      </c>
      <c r="B224" s="26">
        <f>VLOOKUP(A224,Hoja1!A:A,1,FALSE)</f>
        <v>12309</v>
      </c>
      <c r="C224" s="27" t="s">
        <v>850</v>
      </c>
      <c r="D224" s="28" t="s">
        <v>771</v>
      </c>
      <c r="E224" s="29" t="s">
        <v>772</v>
      </c>
      <c r="F224" s="29" t="s">
        <v>12</v>
      </c>
      <c r="G224" s="30">
        <v>43252</v>
      </c>
      <c r="H224" s="26" t="s">
        <v>49</v>
      </c>
      <c r="I224" s="26" t="s">
        <v>110</v>
      </c>
      <c r="J224" s="26" t="s">
        <v>110</v>
      </c>
      <c r="K224" s="26">
        <v>78841</v>
      </c>
      <c r="L224" s="31" t="s">
        <v>2058</v>
      </c>
      <c r="M224" s="26">
        <v>3682</v>
      </c>
      <c r="N224" s="31" t="s">
        <v>820</v>
      </c>
      <c r="O224" s="26">
        <v>8115536021</v>
      </c>
      <c r="P224" s="29" t="s">
        <v>2185</v>
      </c>
      <c r="Q224" s="31" t="s">
        <v>13</v>
      </c>
      <c r="R224" s="26" t="s">
        <v>2248</v>
      </c>
      <c r="S224" s="31" t="s">
        <v>2215</v>
      </c>
      <c r="T224" s="26" t="s">
        <v>2254</v>
      </c>
      <c r="U224" s="31" t="s">
        <v>2253</v>
      </c>
      <c r="V224" s="31" t="s">
        <v>851</v>
      </c>
      <c r="W224" s="31" t="s">
        <v>852</v>
      </c>
      <c r="X224" s="31" t="s">
        <v>99</v>
      </c>
      <c r="Y224" s="31">
        <v>25080</v>
      </c>
      <c r="Z224" s="31" t="s">
        <v>823</v>
      </c>
      <c r="AA224" s="31" t="s">
        <v>824</v>
      </c>
      <c r="AB224" s="31" t="s">
        <v>853</v>
      </c>
      <c r="AC224" s="31">
        <v>8444540123</v>
      </c>
      <c r="AD224" s="31">
        <v>8444540123</v>
      </c>
    </row>
    <row r="225" spans="1:30" x14ac:dyDescent="0.2">
      <c r="A225" s="26">
        <v>12324</v>
      </c>
      <c r="B225" s="26">
        <f>VLOOKUP(A225,Hoja1!A:A,1,FALSE)</f>
        <v>12324</v>
      </c>
      <c r="C225" s="27" t="s">
        <v>854</v>
      </c>
      <c r="D225" s="28" t="s">
        <v>771</v>
      </c>
      <c r="E225" s="29" t="s">
        <v>772</v>
      </c>
      <c r="F225" s="29" t="s">
        <v>12</v>
      </c>
      <c r="G225" s="30">
        <v>43384</v>
      </c>
      <c r="H225" s="26" t="s">
        <v>49</v>
      </c>
      <c r="I225" s="26" t="s">
        <v>110</v>
      </c>
      <c r="J225" s="26" t="s">
        <v>110</v>
      </c>
      <c r="K225" s="26">
        <v>23723</v>
      </c>
      <c r="L225" s="31" t="s">
        <v>2059</v>
      </c>
      <c r="M225" s="26">
        <v>3682</v>
      </c>
      <c r="N225" s="31" t="s">
        <v>820</v>
      </c>
      <c r="O225" s="26">
        <v>8115536021</v>
      </c>
      <c r="P225" s="29" t="s">
        <v>2185</v>
      </c>
      <c r="Q225" s="31" t="s">
        <v>13</v>
      </c>
      <c r="R225" s="26" t="s">
        <v>2248</v>
      </c>
      <c r="S225" s="31" t="s">
        <v>2215</v>
      </c>
      <c r="T225" s="26" t="s">
        <v>2254</v>
      </c>
      <c r="U225" s="31" t="s">
        <v>2253</v>
      </c>
      <c r="V225" s="31" t="s">
        <v>855</v>
      </c>
      <c r="W225" s="31" t="s">
        <v>856</v>
      </c>
      <c r="X225" s="31" t="s">
        <v>823</v>
      </c>
      <c r="Y225" s="31">
        <v>25115</v>
      </c>
      <c r="Z225" s="31" t="s">
        <v>823</v>
      </c>
      <c r="AA225" s="31" t="s">
        <v>824</v>
      </c>
      <c r="AB225" s="31" t="s">
        <v>857</v>
      </c>
      <c r="AC225" s="31">
        <v>8444540120</v>
      </c>
      <c r="AD225" s="31">
        <v>8444540120</v>
      </c>
    </row>
    <row r="226" spans="1:30" x14ac:dyDescent="0.2">
      <c r="A226" s="26">
        <v>11047</v>
      </c>
      <c r="B226" s="26">
        <f>VLOOKUP(A226,Hoja1!A:A,1,FALSE)</f>
        <v>11047</v>
      </c>
      <c r="C226" s="27" t="s">
        <v>858</v>
      </c>
      <c r="D226" s="28" t="s">
        <v>771</v>
      </c>
      <c r="E226" s="29" t="s">
        <v>772</v>
      </c>
      <c r="F226" s="29" t="s">
        <v>12</v>
      </c>
      <c r="G226" s="30">
        <v>33630</v>
      </c>
      <c r="H226" s="26" t="s">
        <v>49</v>
      </c>
      <c r="I226" s="26" t="s">
        <v>110</v>
      </c>
      <c r="J226" s="26" t="s">
        <v>110</v>
      </c>
      <c r="K226" s="26">
        <v>122731</v>
      </c>
      <c r="L226" s="31" t="s">
        <v>2107</v>
      </c>
      <c r="M226" s="26">
        <v>3392</v>
      </c>
      <c r="N226" s="31" t="s">
        <v>859</v>
      </c>
      <c r="O226" s="26">
        <v>8180538474</v>
      </c>
      <c r="P226" s="29" t="s">
        <v>2186</v>
      </c>
      <c r="Q226" s="31" t="s">
        <v>13</v>
      </c>
      <c r="R226" s="26" t="s">
        <v>2248</v>
      </c>
      <c r="S226" s="31" t="s">
        <v>2215</v>
      </c>
      <c r="T226" s="26" t="s">
        <v>2254</v>
      </c>
      <c r="U226" s="31" t="s">
        <v>2253</v>
      </c>
      <c r="V226" s="31" t="s">
        <v>860</v>
      </c>
      <c r="W226" s="31" t="s">
        <v>861</v>
      </c>
      <c r="X226" s="31" t="s">
        <v>99</v>
      </c>
      <c r="Y226" s="31">
        <v>64610</v>
      </c>
      <c r="Z226" s="31" t="s">
        <v>774</v>
      </c>
      <c r="AA226" s="31" t="s">
        <v>774</v>
      </c>
      <c r="AB226" s="31" t="s">
        <v>862</v>
      </c>
      <c r="AC226" s="31">
        <v>8183006858</v>
      </c>
      <c r="AD226" s="31">
        <v>8183006858</v>
      </c>
    </row>
    <row r="227" spans="1:30" x14ac:dyDescent="0.2">
      <c r="A227" s="26">
        <v>11213</v>
      </c>
      <c r="B227" s="26">
        <f>VLOOKUP(A227,Hoja1!A:A,1,FALSE)</f>
        <v>11213</v>
      </c>
      <c r="C227" s="27" t="s">
        <v>863</v>
      </c>
      <c r="D227" s="28" t="s">
        <v>771</v>
      </c>
      <c r="E227" s="29" t="s">
        <v>772</v>
      </c>
      <c r="F227" s="29" t="s">
        <v>12</v>
      </c>
      <c r="G227" s="30">
        <v>36038</v>
      </c>
      <c r="H227" s="26" t="s">
        <v>49</v>
      </c>
      <c r="I227" s="26" t="s">
        <v>110</v>
      </c>
      <c r="J227" s="26" t="s">
        <v>110</v>
      </c>
      <c r="K227" s="26">
        <v>26768</v>
      </c>
      <c r="L227" s="31" t="s">
        <v>2060</v>
      </c>
      <c r="M227" s="26">
        <v>3392</v>
      </c>
      <c r="N227" s="31" t="s">
        <v>859</v>
      </c>
      <c r="O227" s="26">
        <v>8180538474</v>
      </c>
      <c r="P227" s="29" t="s">
        <v>2186</v>
      </c>
      <c r="Q227" s="31" t="s">
        <v>13</v>
      </c>
      <c r="R227" s="26" t="s">
        <v>2248</v>
      </c>
      <c r="S227" s="31" t="s">
        <v>2215</v>
      </c>
      <c r="T227" s="26" t="s">
        <v>2254</v>
      </c>
      <c r="U227" s="31" t="s">
        <v>2253</v>
      </c>
      <c r="V227" s="31" t="s">
        <v>864</v>
      </c>
      <c r="W227" s="31" t="s">
        <v>865</v>
      </c>
      <c r="X227" s="31" t="s">
        <v>99</v>
      </c>
      <c r="Y227" s="31">
        <v>64259</v>
      </c>
      <c r="Z227" s="31" t="s">
        <v>774</v>
      </c>
      <c r="AA227" s="31" t="s">
        <v>775</v>
      </c>
      <c r="AB227" s="31" t="s">
        <v>866</v>
      </c>
      <c r="AC227" s="31">
        <v>8183012280</v>
      </c>
      <c r="AD227" s="31">
        <v>8183012280</v>
      </c>
    </row>
    <row r="228" spans="1:30" x14ac:dyDescent="0.2">
      <c r="A228" s="26">
        <v>11343</v>
      </c>
      <c r="B228" s="26">
        <f>VLOOKUP(A228,Hoja1!A:A,1,FALSE)</f>
        <v>11343</v>
      </c>
      <c r="C228" s="27" t="s">
        <v>867</v>
      </c>
      <c r="D228" s="28" t="s">
        <v>771</v>
      </c>
      <c r="E228" s="29" t="s">
        <v>772</v>
      </c>
      <c r="F228" s="29" t="s">
        <v>12</v>
      </c>
      <c r="G228" s="30">
        <v>37162</v>
      </c>
      <c r="H228" s="26" t="s">
        <v>49</v>
      </c>
      <c r="I228" s="26" t="s">
        <v>110</v>
      </c>
      <c r="J228" s="26" t="s">
        <v>110</v>
      </c>
      <c r="K228" s="26">
        <v>24101</v>
      </c>
      <c r="L228" s="31" t="s">
        <v>2061</v>
      </c>
      <c r="M228" s="26">
        <v>3392</v>
      </c>
      <c r="N228" s="31" t="s">
        <v>859</v>
      </c>
      <c r="O228" s="26">
        <v>8180538474</v>
      </c>
      <c r="P228" s="29" t="s">
        <v>2186</v>
      </c>
      <c r="Q228" s="31" t="s">
        <v>13</v>
      </c>
      <c r="R228" s="26" t="s">
        <v>2248</v>
      </c>
      <c r="S228" s="31" t="s">
        <v>2215</v>
      </c>
      <c r="T228" s="26" t="s">
        <v>2254</v>
      </c>
      <c r="U228" s="31" t="s">
        <v>2253</v>
      </c>
      <c r="V228" s="31" t="s">
        <v>868</v>
      </c>
      <c r="W228" s="31" t="s">
        <v>869</v>
      </c>
      <c r="X228" s="31" t="s">
        <v>99</v>
      </c>
      <c r="Y228" s="31">
        <v>64150</v>
      </c>
      <c r="Z228" s="31" t="s">
        <v>774</v>
      </c>
      <c r="AA228" s="31" t="s">
        <v>775</v>
      </c>
      <c r="AB228" s="31" t="s">
        <v>870</v>
      </c>
      <c r="AC228" s="31">
        <v>8183117353</v>
      </c>
      <c r="AD228" s="31">
        <v>8183117353</v>
      </c>
    </row>
    <row r="229" spans="1:30" x14ac:dyDescent="0.2">
      <c r="A229" s="26">
        <v>11429</v>
      </c>
      <c r="B229" s="26">
        <f>VLOOKUP(A229,Hoja1!A:A,1,FALSE)</f>
        <v>11429</v>
      </c>
      <c r="C229" s="27" t="s">
        <v>871</v>
      </c>
      <c r="D229" s="28" t="s">
        <v>771</v>
      </c>
      <c r="E229" s="29" t="s">
        <v>772</v>
      </c>
      <c r="F229" s="29" t="s">
        <v>12</v>
      </c>
      <c r="G229" s="30">
        <v>37872</v>
      </c>
      <c r="H229" s="26" t="s">
        <v>49</v>
      </c>
      <c r="I229" s="26" t="s">
        <v>110</v>
      </c>
      <c r="J229" s="26" t="s">
        <v>110</v>
      </c>
      <c r="K229" s="26">
        <v>22757</v>
      </c>
      <c r="L229" s="31" t="s">
        <v>2062</v>
      </c>
      <c r="M229" s="26">
        <v>3392</v>
      </c>
      <c r="N229" s="31" t="s">
        <v>859</v>
      </c>
      <c r="O229" s="26">
        <v>8180538474</v>
      </c>
      <c r="P229" s="29" t="s">
        <v>2186</v>
      </c>
      <c r="Q229" s="31" t="s">
        <v>13</v>
      </c>
      <c r="R229" s="26" t="s">
        <v>2248</v>
      </c>
      <c r="S229" s="31" t="s">
        <v>2215</v>
      </c>
      <c r="T229" s="26" t="s">
        <v>2254</v>
      </c>
      <c r="U229" s="31" t="s">
        <v>2253</v>
      </c>
      <c r="V229" s="31" t="s">
        <v>872</v>
      </c>
      <c r="W229" s="31" t="s">
        <v>873</v>
      </c>
      <c r="X229" s="31" t="s">
        <v>99</v>
      </c>
      <c r="Y229" s="31">
        <v>64348</v>
      </c>
      <c r="Z229" s="31" t="s">
        <v>774</v>
      </c>
      <c r="AA229" s="31" t="s">
        <v>775</v>
      </c>
      <c r="AB229" s="31" t="s">
        <v>874</v>
      </c>
      <c r="AC229" s="31">
        <v>8183062800</v>
      </c>
      <c r="AD229" s="31">
        <v>8183062800</v>
      </c>
    </row>
    <row r="230" spans="1:30" x14ac:dyDescent="0.2">
      <c r="A230" s="26">
        <v>11563</v>
      </c>
      <c r="B230" s="26">
        <f>VLOOKUP(A230,Hoja1!A:A,1,FALSE)</f>
        <v>11563</v>
      </c>
      <c r="C230" s="27" t="s">
        <v>875</v>
      </c>
      <c r="D230" s="28" t="s">
        <v>771</v>
      </c>
      <c r="E230" s="29" t="s">
        <v>772</v>
      </c>
      <c r="F230" s="29" t="s">
        <v>12</v>
      </c>
      <c r="G230" s="30">
        <v>41986</v>
      </c>
      <c r="H230" s="26" t="s">
        <v>49</v>
      </c>
      <c r="I230" s="26" t="s">
        <v>110</v>
      </c>
      <c r="J230" s="26" t="s">
        <v>110</v>
      </c>
      <c r="K230" s="26" t="s">
        <v>395</v>
      </c>
      <c r="L230" s="31" t="s">
        <v>395</v>
      </c>
      <c r="M230" s="26">
        <v>3392</v>
      </c>
      <c r="N230" s="31" t="s">
        <v>859</v>
      </c>
      <c r="O230" s="26">
        <v>8180538474</v>
      </c>
      <c r="P230" s="29" t="s">
        <v>2186</v>
      </c>
      <c r="Q230" s="31" t="s">
        <v>13</v>
      </c>
      <c r="R230" s="26" t="s">
        <v>2248</v>
      </c>
      <c r="S230" s="31" t="s">
        <v>2215</v>
      </c>
      <c r="T230" s="26" t="s">
        <v>2254</v>
      </c>
      <c r="U230" s="31" t="s">
        <v>2253</v>
      </c>
      <c r="V230" s="31" t="s">
        <v>876</v>
      </c>
      <c r="W230" s="31" t="s">
        <v>871</v>
      </c>
      <c r="X230" s="31" t="s">
        <v>99</v>
      </c>
      <c r="Y230" s="31">
        <v>66058</v>
      </c>
      <c r="Z230" s="31" t="s">
        <v>774</v>
      </c>
      <c r="AA230" s="31" t="s">
        <v>775</v>
      </c>
      <c r="AB230" s="31" t="s">
        <v>877</v>
      </c>
      <c r="AC230" s="31">
        <v>8181023524</v>
      </c>
      <c r="AD230" s="31">
        <v>8181020704</v>
      </c>
    </row>
    <row r="231" spans="1:30" x14ac:dyDescent="0.2">
      <c r="A231" s="26">
        <v>11637</v>
      </c>
      <c r="B231" s="26">
        <f>VLOOKUP(A231,Hoja1!A:A,1,FALSE)</f>
        <v>11637</v>
      </c>
      <c r="C231" s="27" t="s">
        <v>878</v>
      </c>
      <c r="D231" s="28" t="s">
        <v>771</v>
      </c>
      <c r="E231" s="29" t="s">
        <v>772</v>
      </c>
      <c r="F231" s="29" t="s">
        <v>12</v>
      </c>
      <c r="G231" s="30">
        <v>43092</v>
      </c>
      <c r="H231" s="26" t="s">
        <v>49</v>
      </c>
      <c r="I231" s="26" t="s">
        <v>110</v>
      </c>
      <c r="J231" s="26" t="s">
        <v>110</v>
      </c>
      <c r="K231" s="26" t="s">
        <v>395</v>
      </c>
      <c r="L231" s="31" t="s">
        <v>395</v>
      </c>
      <c r="M231" s="26">
        <v>3392</v>
      </c>
      <c r="N231" s="31" t="s">
        <v>859</v>
      </c>
      <c r="O231" s="26">
        <v>8180538474</v>
      </c>
      <c r="P231" s="29" t="s">
        <v>2186</v>
      </c>
      <c r="Q231" s="31" t="s">
        <v>13</v>
      </c>
      <c r="R231" s="26" t="s">
        <v>2248</v>
      </c>
      <c r="S231" s="31" t="s">
        <v>2215</v>
      </c>
      <c r="T231" s="26" t="s">
        <v>2254</v>
      </c>
      <c r="U231" s="31" t="s">
        <v>2253</v>
      </c>
      <c r="V231" s="31" t="s">
        <v>879</v>
      </c>
      <c r="W231" s="31" t="s">
        <v>880</v>
      </c>
      <c r="X231" s="31" t="s">
        <v>99</v>
      </c>
      <c r="Y231" s="31">
        <v>64349</v>
      </c>
      <c r="Z231" s="31" t="s">
        <v>774</v>
      </c>
      <c r="AA231" s="31" t="s">
        <v>775</v>
      </c>
      <c r="AB231" s="31" t="s">
        <v>881</v>
      </c>
      <c r="AC231" s="31">
        <v>8113579665</v>
      </c>
      <c r="AD231" s="31">
        <v>8113579665</v>
      </c>
    </row>
    <row r="232" spans="1:30" x14ac:dyDescent="0.2">
      <c r="A232" s="26">
        <v>11648</v>
      </c>
      <c r="B232" s="26">
        <f>VLOOKUP(A232,Hoja1!A:A,1,FALSE)</f>
        <v>11648</v>
      </c>
      <c r="C232" s="27" t="s">
        <v>882</v>
      </c>
      <c r="D232" s="28" t="s">
        <v>771</v>
      </c>
      <c r="E232" s="29" t="s">
        <v>772</v>
      </c>
      <c r="F232" s="29" t="s">
        <v>12</v>
      </c>
      <c r="G232" s="30">
        <v>43152</v>
      </c>
      <c r="H232" s="26" t="s">
        <v>49</v>
      </c>
      <c r="I232" s="26" t="s">
        <v>110</v>
      </c>
      <c r="J232" s="26" t="s">
        <v>110</v>
      </c>
      <c r="K232" s="26" t="s">
        <v>395</v>
      </c>
      <c r="L232" s="31" t="s">
        <v>395</v>
      </c>
      <c r="M232" s="26">
        <v>3392</v>
      </c>
      <c r="N232" s="31" t="s">
        <v>859</v>
      </c>
      <c r="O232" s="26">
        <v>8180538474</v>
      </c>
      <c r="P232" s="29" t="s">
        <v>2186</v>
      </c>
      <c r="Q232" s="31" t="s">
        <v>13</v>
      </c>
      <c r="R232" s="26" t="s">
        <v>2248</v>
      </c>
      <c r="S232" s="31" t="s">
        <v>2215</v>
      </c>
      <c r="T232" s="26" t="s">
        <v>2254</v>
      </c>
      <c r="U232" s="31" t="s">
        <v>2253</v>
      </c>
      <c r="V232" s="31" t="s">
        <v>883</v>
      </c>
      <c r="W232" s="31" t="s">
        <v>884</v>
      </c>
      <c r="X232" s="31" t="s">
        <v>99</v>
      </c>
      <c r="Y232" s="31">
        <v>64460</v>
      </c>
      <c r="Z232" s="31" t="s">
        <v>774</v>
      </c>
      <c r="AA232" s="31" t="s">
        <v>774</v>
      </c>
      <c r="AB232" s="31" t="s">
        <v>885</v>
      </c>
      <c r="AC232" s="31">
        <v>8181230516</v>
      </c>
      <c r="AD232" s="31">
        <v>8181230516</v>
      </c>
    </row>
    <row r="233" spans="1:30" x14ac:dyDescent="0.2">
      <c r="A233" s="26">
        <v>11834</v>
      </c>
      <c r="B233" s="26">
        <f>VLOOKUP(A233,Hoja1!A:A,1,FALSE)</f>
        <v>11834</v>
      </c>
      <c r="C233" s="27" t="s">
        <v>886</v>
      </c>
      <c r="D233" s="28" t="s">
        <v>771</v>
      </c>
      <c r="E233" s="29" t="s">
        <v>772</v>
      </c>
      <c r="F233" s="29" t="s">
        <v>12</v>
      </c>
      <c r="G233" s="30">
        <v>37242</v>
      </c>
      <c r="H233" s="26" t="s">
        <v>49</v>
      </c>
      <c r="I233" s="26" t="s">
        <v>50</v>
      </c>
      <c r="J233" s="26" t="s">
        <v>153</v>
      </c>
      <c r="K233" s="26">
        <v>23417</v>
      </c>
      <c r="L233" s="31" t="s">
        <v>2063</v>
      </c>
      <c r="M233" s="26">
        <v>3392</v>
      </c>
      <c r="N233" s="31" t="s">
        <v>859</v>
      </c>
      <c r="O233" s="26">
        <v>8180538474</v>
      </c>
      <c r="P233" s="29" t="s">
        <v>2186</v>
      </c>
      <c r="Q233" s="31" t="s">
        <v>13</v>
      </c>
      <c r="R233" s="26" t="s">
        <v>2248</v>
      </c>
      <c r="S233" s="31" t="s">
        <v>2215</v>
      </c>
      <c r="T233" s="26" t="s">
        <v>2254</v>
      </c>
      <c r="U233" s="31" t="s">
        <v>2253</v>
      </c>
      <c r="V233" s="31" t="s">
        <v>887</v>
      </c>
      <c r="W233" s="31" t="s">
        <v>89</v>
      </c>
      <c r="X233" s="31" t="s">
        <v>99</v>
      </c>
      <c r="Y233" s="31">
        <v>64000</v>
      </c>
      <c r="Z233" s="31" t="s">
        <v>774</v>
      </c>
      <c r="AA233" s="31" t="s">
        <v>775</v>
      </c>
      <c r="AB233" s="31" t="s">
        <v>888</v>
      </c>
      <c r="AC233" s="31">
        <v>8183455403</v>
      </c>
      <c r="AD233" s="31">
        <v>8183455403</v>
      </c>
    </row>
    <row r="234" spans="1:30" x14ac:dyDescent="0.2">
      <c r="A234" s="26">
        <v>11852</v>
      </c>
      <c r="B234" s="26">
        <f>VLOOKUP(A234,Hoja1!A:A,1,FALSE)</f>
        <v>11852</v>
      </c>
      <c r="C234" s="27" t="s">
        <v>889</v>
      </c>
      <c r="D234" s="28" t="s">
        <v>771</v>
      </c>
      <c r="E234" s="29" t="s">
        <v>772</v>
      </c>
      <c r="F234" s="29" t="s">
        <v>12</v>
      </c>
      <c r="G234" s="30">
        <v>37893</v>
      </c>
      <c r="H234" s="26" t="s">
        <v>49</v>
      </c>
      <c r="I234" s="26" t="s">
        <v>50</v>
      </c>
      <c r="J234" s="26" t="s">
        <v>153</v>
      </c>
      <c r="K234" s="26">
        <v>23855</v>
      </c>
      <c r="L234" s="31" t="s">
        <v>2064</v>
      </c>
      <c r="M234" s="26">
        <v>3392</v>
      </c>
      <c r="N234" s="31" t="s">
        <v>859</v>
      </c>
      <c r="O234" s="26">
        <v>8180538474</v>
      </c>
      <c r="P234" s="29" t="s">
        <v>2186</v>
      </c>
      <c r="Q234" s="31" t="s">
        <v>13</v>
      </c>
      <c r="R234" s="26" t="s">
        <v>2248</v>
      </c>
      <c r="S234" s="31" t="s">
        <v>2215</v>
      </c>
      <c r="T234" s="26" t="s">
        <v>2254</v>
      </c>
      <c r="U234" s="31" t="s">
        <v>2253</v>
      </c>
      <c r="V234" s="31" t="s">
        <v>890</v>
      </c>
      <c r="W234" s="31" t="s">
        <v>89</v>
      </c>
      <c r="X234" s="31" t="s">
        <v>99</v>
      </c>
      <c r="Y234" s="31">
        <v>64000</v>
      </c>
      <c r="Z234" s="31" t="s">
        <v>774</v>
      </c>
      <c r="AA234" s="31" t="s">
        <v>775</v>
      </c>
      <c r="AB234" s="31" t="s">
        <v>891</v>
      </c>
      <c r="AC234" s="31">
        <v>8115537882</v>
      </c>
      <c r="AD234" s="31">
        <v>8115537882</v>
      </c>
    </row>
    <row r="235" spans="1:30" x14ac:dyDescent="0.2">
      <c r="A235" s="26">
        <v>12325</v>
      </c>
      <c r="B235" s="26">
        <f>VLOOKUP(A235,Hoja1!A:A,1,FALSE)</f>
        <v>12325</v>
      </c>
      <c r="C235" s="27" t="s">
        <v>892</v>
      </c>
      <c r="D235" s="28" t="s">
        <v>771</v>
      </c>
      <c r="E235" s="29" t="s">
        <v>772</v>
      </c>
      <c r="F235" s="29" t="s">
        <v>12</v>
      </c>
      <c r="G235" s="30">
        <v>43381</v>
      </c>
      <c r="H235" s="26" t="s">
        <v>49</v>
      </c>
      <c r="I235" s="26" t="s">
        <v>110</v>
      </c>
      <c r="J235" s="26" t="s">
        <v>110</v>
      </c>
      <c r="K235" s="26">
        <v>28487</v>
      </c>
      <c r="L235" s="31" t="s">
        <v>2065</v>
      </c>
      <c r="M235" s="26">
        <v>3392</v>
      </c>
      <c r="N235" s="31" t="s">
        <v>859</v>
      </c>
      <c r="O235" s="26">
        <v>8180538474</v>
      </c>
      <c r="P235" s="29" t="s">
        <v>2186</v>
      </c>
      <c r="Q235" s="31" t="s">
        <v>13</v>
      </c>
      <c r="R235" s="26" t="s">
        <v>2248</v>
      </c>
      <c r="S235" s="31" t="s">
        <v>2215</v>
      </c>
      <c r="T235" s="26" t="s">
        <v>2254</v>
      </c>
      <c r="U235" s="31" t="s">
        <v>2253</v>
      </c>
      <c r="V235" s="31" t="s">
        <v>893</v>
      </c>
      <c r="W235" s="31" t="s">
        <v>892</v>
      </c>
      <c r="X235" s="31" t="s">
        <v>99</v>
      </c>
      <c r="Y235" s="31">
        <v>66026</v>
      </c>
      <c r="Z235" s="31" t="s">
        <v>894</v>
      </c>
      <c r="AA235" s="31" t="s">
        <v>775</v>
      </c>
      <c r="AB235" s="31" t="s">
        <v>895</v>
      </c>
      <c r="AC235" s="31">
        <v>8138490010</v>
      </c>
      <c r="AD235" s="31">
        <v>8138490010</v>
      </c>
    </row>
    <row r="236" spans="1:30" x14ac:dyDescent="0.2">
      <c r="A236" s="26">
        <v>11170</v>
      </c>
      <c r="B236" s="26">
        <f>VLOOKUP(A236,Hoja1!A:A,1,FALSE)</f>
        <v>11170</v>
      </c>
      <c r="C236" s="27" t="s">
        <v>896</v>
      </c>
      <c r="D236" s="28" t="s">
        <v>771</v>
      </c>
      <c r="E236" s="29" t="s">
        <v>772</v>
      </c>
      <c r="F236" s="29" t="s">
        <v>12</v>
      </c>
      <c r="G236" s="30">
        <v>35785</v>
      </c>
      <c r="H236" s="26" t="s">
        <v>49</v>
      </c>
      <c r="I236" s="26" t="s">
        <v>110</v>
      </c>
      <c r="J236" s="26" t="s">
        <v>110</v>
      </c>
      <c r="K236" s="26">
        <v>42113</v>
      </c>
      <c r="L236" s="31" t="s">
        <v>2067</v>
      </c>
      <c r="M236" s="26">
        <v>5247</v>
      </c>
      <c r="N236" s="31" t="s">
        <v>897</v>
      </c>
      <c r="O236" s="26">
        <v>8119906273</v>
      </c>
      <c r="P236" s="29" t="s">
        <v>2187</v>
      </c>
      <c r="Q236" s="31" t="s">
        <v>13</v>
      </c>
      <c r="R236" s="26" t="s">
        <v>2248</v>
      </c>
      <c r="S236" s="31" t="s">
        <v>2215</v>
      </c>
      <c r="T236" s="26" t="s">
        <v>2254</v>
      </c>
      <c r="U236" s="31" t="s">
        <v>2253</v>
      </c>
      <c r="V236" s="31" t="s">
        <v>898</v>
      </c>
      <c r="W236" s="31" t="s">
        <v>89</v>
      </c>
      <c r="X236" s="31" t="s">
        <v>99</v>
      </c>
      <c r="Y236" s="31">
        <v>64000</v>
      </c>
      <c r="Z236" s="31" t="s">
        <v>774</v>
      </c>
      <c r="AA236" s="31" t="s">
        <v>775</v>
      </c>
      <c r="AB236" s="31" t="s">
        <v>899</v>
      </c>
      <c r="AC236" s="31">
        <v>8183454591</v>
      </c>
      <c r="AD236" s="31">
        <v>8183454591</v>
      </c>
    </row>
    <row r="237" spans="1:30" x14ac:dyDescent="0.2">
      <c r="A237" s="26">
        <v>11283</v>
      </c>
      <c r="B237" s="26">
        <f>VLOOKUP(A237,Hoja1!A:A,1,FALSE)</f>
        <v>11283</v>
      </c>
      <c r="C237" s="27" t="s">
        <v>900</v>
      </c>
      <c r="D237" s="28" t="s">
        <v>771</v>
      </c>
      <c r="E237" s="29" t="s">
        <v>772</v>
      </c>
      <c r="F237" s="29" t="s">
        <v>12</v>
      </c>
      <c r="G237" s="30">
        <v>36540</v>
      </c>
      <c r="H237" s="26" t="s">
        <v>49</v>
      </c>
      <c r="I237" s="26" t="s">
        <v>110</v>
      </c>
      <c r="J237" s="26" t="s">
        <v>110</v>
      </c>
      <c r="K237" s="26">
        <v>28704</v>
      </c>
      <c r="L237" s="31" t="s">
        <v>2066</v>
      </c>
      <c r="M237" s="26">
        <v>5247</v>
      </c>
      <c r="N237" s="31" t="s">
        <v>897</v>
      </c>
      <c r="O237" s="26">
        <v>8119906273</v>
      </c>
      <c r="P237" s="29" t="s">
        <v>2187</v>
      </c>
      <c r="Q237" s="31" t="s">
        <v>13</v>
      </c>
      <c r="R237" s="26" t="s">
        <v>2248</v>
      </c>
      <c r="S237" s="31" t="s">
        <v>2215</v>
      </c>
      <c r="T237" s="26" t="s">
        <v>2254</v>
      </c>
      <c r="U237" s="31" t="s">
        <v>2253</v>
      </c>
      <c r="V237" s="31" t="s">
        <v>901</v>
      </c>
      <c r="W237" s="31" t="s">
        <v>902</v>
      </c>
      <c r="X237" s="31" t="s">
        <v>99</v>
      </c>
      <c r="Y237" s="31">
        <v>67190</v>
      </c>
      <c r="Z237" s="31" t="s">
        <v>903</v>
      </c>
      <c r="AA237" s="31" t="s">
        <v>775</v>
      </c>
      <c r="AB237" s="31" t="s">
        <v>904</v>
      </c>
      <c r="AC237" s="31">
        <v>8183932978</v>
      </c>
      <c r="AD237" s="31">
        <v>8183932978</v>
      </c>
    </row>
    <row r="238" spans="1:30" x14ac:dyDescent="0.2">
      <c r="A238" s="26">
        <v>11309</v>
      </c>
      <c r="B238" s="26">
        <f>VLOOKUP(A238,Hoja1!A:A,1,FALSE)</f>
        <v>11309</v>
      </c>
      <c r="C238" s="27" t="s">
        <v>905</v>
      </c>
      <c r="D238" s="28" t="s">
        <v>771</v>
      </c>
      <c r="E238" s="29" t="s">
        <v>772</v>
      </c>
      <c r="F238" s="29" t="s">
        <v>12</v>
      </c>
      <c r="G238" s="30">
        <v>36930</v>
      </c>
      <c r="H238" s="26" t="s">
        <v>49</v>
      </c>
      <c r="I238" s="26" t="s">
        <v>110</v>
      </c>
      <c r="J238" s="26" t="s">
        <v>110</v>
      </c>
      <c r="K238" s="26" t="s">
        <v>395</v>
      </c>
      <c r="L238" s="31" t="s">
        <v>395</v>
      </c>
      <c r="M238" s="26">
        <v>5247</v>
      </c>
      <c r="N238" s="31" t="s">
        <v>897</v>
      </c>
      <c r="O238" s="26">
        <v>8119906273</v>
      </c>
      <c r="P238" s="29" t="s">
        <v>2187</v>
      </c>
      <c r="Q238" s="31" t="s">
        <v>13</v>
      </c>
      <c r="R238" s="26" t="s">
        <v>2248</v>
      </c>
      <c r="S238" s="31" t="s">
        <v>2215</v>
      </c>
      <c r="T238" s="26" t="s">
        <v>2254</v>
      </c>
      <c r="U238" s="31" t="s">
        <v>2253</v>
      </c>
      <c r="V238" s="31" t="s">
        <v>906</v>
      </c>
      <c r="W238" s="31" t="s">
        <v>907</v>
      </c>
      <c r="X238" s="31" t="s">
        <v>99</v>
      </c>
      <c r="Y238" s="31">
        <v>67113</v>
      </c>
      <c r="Z238" s="31" t="s">
        <v>903</v>
      </c>
      <c r="AA238" s="31" t="s">
        <v>775</v>
      </c>
      <c r="AB238" s="31" t="s">
        <v>908</v>
      </c>
      <c r="AC238" s="31">
        <v>8125104478</v>
      </c>
      <c r="AD238" s="31">
        <v>8183413004</v>
      </c>
    </row>
    <row r="239" spans="1:30" x14ac:dyDescent="0.2">
      <c r="A239" s="26">
        <v>11316</v>
      </c>
      <c r="B239" s="26">
        <f>VLOOKUP(A239,Hoja1!A:A,1,FALSE)</f>
        <v>11316</v>
      </c>
      <c r="C239" s="27" t="s">
        <v>909</v>
      </c>
      <c r="D239" s="28" t="s">
        <v>771</v>
      </c>
      <c r="E239" s="29" t="s">
        <v>772</v>
      </c>
      <c r="F239" s="29" t="s">
        <v>12</v>
      </c>
      <c r="G239" s="30">
        <v>36647</v>
      </c>
      <c r="H239" s="26" t="s">
        <v>49</v>
      </c>
      <c r="I239" s="26" t="s">
        <v>110</v>
      </c>
      <c r="J239" s="26" t="s">
        <v>110</v>
      </c>
      <c r="K239" s="26">
        <v>42913</v>
      </c>
      <c r="L239" s="31" t="s">
        <v>2456</v>
      </c>
      <c r="M239" s="26">
        <v>5247</v>
      </c>
      <c r="N239" s="31" t="s">
        <v>897</v>
      </c>
      <c r="O239" s="26">
        <v>8119906273</v>
      </c>
      <c r="P239" s="29" t="s">
        <v>2187</v>
      </c>
      <c r="Q239" s="31" t="s">
        <v>13</v>
      </c>
      <c r="R239" s="26" t="s">
        <v>2248</v>
      </c>
      <c r="S239" s="31" t="s">
        <v>2215</v>
      </c>
      <c r="T239" s="26" t="s">
        <v>2254</v>
      </c>
      <c r="U239" s="31" t="s">
        <v>2253</v>
      </c>
      <c r="V239" s="31" t="s">
        <v>910</v>
      </c>
      <c r="W239" s="31" t="s">
        <v>911</v>
      </c>
      <c r="X239" s="31" t="s">
        <v>99</v>
      </c>
      <c r="Y239" s="31">
        <v>67167</v>
      </c>
      <c r="Z239" s="31" t="s">
        <v>774</v>
      </c>
      <c r="AA239" s="31" t="s">
        <v>775</v>
      </c>
      <c r="AB239" s="31" t="s">
        <v>912</v>
      </c>
      <c r="AC239" s="31">
        <v>8183233566</v>
      </c>
      <c r="AD239" s="31">
        <v>8183233566</v>
      </c>
    </row>
    <row r="240" spans="1:30" x14ac:dyDescent="0.2">
      <c r="A240" s="26">
        <v>11616</v>
      </c>
      <c r="B240" s="26">
        <f>VLOOKUP(A240,Hoja1!A:A,1,FALSE)</f>
        <v>11616</v>
      </c>
      <c r="C240" s="27" t="s">
        <v>913</v>
      </c>
      <c r="D240" s="28" t="s">
        <v>771</v>
      </c>
      <c r="E240" s="29" t="s">
        <v>772</v>
      </c>
      <c r="F240" s="29" t="s">
        <v>12</v>
      </c>
      <c r="G240" s="30">
        <v>42732</v>
      </c>
      <c r="H240" s="26" t="s">
        <v>49</v>
      </c>
      <c r="I240" s="26" t="s">
        <v>110</v>
      </c>
      <c r="J240" s="26" t="s">
        <v>110</v>
      </c>
      <c r="K240" s="26">
        <v>27488</v>
      </c>
      <c r="L240" s="31" t="s">
        <v>2457</v>
      </c>
      <c r="M240" s="26">
        <v>5247</v>
      </c>
      <c r="N240" s="31" t="s">
        <v>897</v>
      </c>
      <c r="O240" s="26">
        <v>8119906273</v>
      </c>
      <c r="P240" s="29" t="s">
        <v>2187</v>
      </c>
      <c r="Q240" s="31" t="s">
        <v>13</v>
      </c>
      <c r="R240" s="26" t="s">
        <v>2248</v>
      </c>
      <c r="S240" s="31" t="s">
        <v>2215</v>
      </c>
      <c r="T240" s="26" t="s">
        <v>2254</v>
      </c>
      <c r="U240" s="31" t="s">
        <v>2253</v>
      </c>
      <c r="V240" s="31" t="s">
        <v>914</v>
      </c>
      <c r="W240" s="31" t="s">
        <v>913</v>
      </c>
      <c r="X240" s="31" t="s">
        <v>99</v>
      </c>
      <c r="Y240" s="31">
        <v>67114</v>
      </c>
      <c r="Z240" s="31" t="s">
        <v>903</v>
      </c>
      <c r="AA240" s="31" t="s">
        <v>775</v>
      </c>
      <c r="AB240" s="31" t="s">
        <v>915</v>
      </c>
      <c r="AC240" s="31">
        <v>8184531476</v>
      </c>
      <c r="AD240" s="31">
        <v>8184534699</v>
      </c>
    </row>
    <row r="241" spans="1:33" x14ac:dyDescent="0.2">
      <c r="A241" s="26">
        <v>12335</v>
      </c>
      <c r="B241" s="26">
        <f>VLOOKUP(A241,Hoja1!A:A,1,FALSE)</f>
        <v>12335</v>
      </c>
      <c r="C241" s="27" t="s">
        <v>916</v>
      </c>
      <c r="D241" s="28" t="s">
        <v>771</v>
      </c>
      <c r="E241" s="29" t="s">
        <v>772</v>
      </c>
      <c r="F241" s="29" t="s">
        <v>12</v>
      </c>
      <c r="G241" s="30">
        <v>43440</v>
      </c>
      <c r="H241" s="26" t="s">
        <v>49</v>
      </c>
      <c r="I241" s="26" t="s">
        <v>110</v>
      </c>
      <c r="J241" s="26" t="s">
        <v>110</v>
      </c>
      <c r="K241" s="26">
        <v>29139</v>
      </c>
      <c r="L241" s="31" t="s">
        <v>2068</v>
      </c>
      <c r="M241" s="26">
        <v>5247</v>
      </c>
      <c r="N241" s="31" t="s">
        <v>897</v>
      </c>
      <c r="O241" s="26">
        <v>8119906273</v>
      </c>
      <c r="P241" s="29" t="s">
        <v>2187</v>
      </c>
      <c r="Q241" s="31" t="s">
        <v>13</v>
      </c>
      <c r="R241" s="26" t="s">
        <v>2248</v>
      </c>
      <c r="S241" s="31" t="s">
        <v>2215</v>
      </c>
      <c r="T241" s="26" t="s">
        <v>2254</v>
      </c>
      <c r="U241" s="31" t="s">
        <v>2253</v>
      </c>
      <c r="V241" s="31" t="s">
        <v>917</v>
      </c>
      <c r="W241" s="31" t="s">
        <v>644</v>
      </c>
      <c r="X241" s="31" t="s">
        <v>99</v>
      </c>
      <c r="Y241" s="31">
        <v>66648</v>
      </c>
      <c r="Z241" s="31" t="s">
        <v>789</v>
      </c>
      <c r="AA241" s="31" t="s">
        <v>775</v>
      </c>
      <c r="AB241" s="31" t="s">
        <v>918</v>
      </c>
      <c r="AC241" s="31">
        <v>8138490011</v>
      </c>
      <c r="AD241" s="31">
        <v>8138490011</v>
      </c>
    </row>
    <row r="242" spans="1:33" x14ac:dyDescent="0.2">
      <c r="A242" s="26">
        <v>11007</v>
      </c>
      <c r="B242" s="26">
        <f>VLOOKUP(A242,Hoja1!A:A,1,FALSE)</f>
        <v>11007</v>
      </c>
      <c r="C242" s="27" t="s">
        <v>919</v>
      </c>
      <c r="D242" s="28" t="s">
        <v>771</v>
      </c>
      <c r="E242" s="29" t="s">
        <v>772</v>
      </c>
      <c r="F242" s="29" t="s">
        <v>12</v>
      </c>
      <c r="G242" s="30">
        <v>33158</v>
      </c>
      <c r="H242" s="26" t="s">
        <v>49</v>
      </c>
      <c r="I242" s="26" t="s">
        <v>110</v>
      </c>
      <c r="J242" s="26" t="s">
        <v>110</v>
      </c>
      <c r="K242" s="26">
        <v>23852</v>
      </c>
      <c r="L242" s="31" t="s">
        <v>2069</v>
      </c>
      <c r="M242" s="26">
        <v>4305</v>
      </c>
      <c r="N242" s="31" t="s">
        <v>920</v>
      </c>
      <c r="O242" s="26">
        <v>8117990849</v>
      </c>
      <c r="P242" s="29" t="s">
        <v>2188</v>
      </c>
      <c r="Q242" s="31" t="s">
        <v>13</v>
      </c>
      <c r="R242" s="26" t="s">
        <v>2248</v>
      </c>
      <c r="S242" s="31" t="s">
        <v>2215</v>
      </c>
      <c r="T242" s="26" t="s">
        <v>2254</v>
      </c>
      <c r="U242" s="31" t="s">
        <v>2253</v>
      </c>
      <c r="V242" s="31" t="s">
        <v>921</v>
      </c>
      <c r="W242" s="31" t="s">
        <v>755</v>
      </c>
      <c r="X242" s="31" t="s">
        <v>99</v>
      </c>
      <c r="Y242" s="31">
        <v>66220</v>
      </c>
      <c r="Z242" s="31" t="s">
        <v>774</v>
      </c>
      <c r="AA242" s="31" t="s">
        <v>775</v>
      </c>
      <c r="AB242" s="31" t="s">
        <v>922</v>
      </c>
      <c r="AC242" s="31">
        <v>8123160761</v>
      </c>
      <c r="AD242" s="31">
        <v>8183565733</v>
      </c>
    </row>
    <row r="243" spans="1:33" x14ac:dyDescent="0.2">
      <c r="A243" s="26">
        <v>11131</v>
      </c>
      <c r="B243" s="26">
        <f>VLOOKUP(A243,Hoja1!A:A,1,FALSE)</f>
        <v>11131</v>
      </c>
      <c r="C243" s="27" t="s">
        <v>923</v>
      </c>
      <c r="D243" s="28" t="s">
        <v>771</v>
      </c>
      <c r="E243" s="29" t="s">
        <v>772</v>
      </c>
      <c r="F243" s="29" t="s">
        <v>12</v>
      </c>
      <c r="G243" s="30">
        <v>34834</v>
      </c>
      <c r="H243" s="26" t="s">
        <v>49</v>
      </c>
      <c r="I243" s="26" t="s">
        <v>110</v>
      </c>
      <c r="J243" s="26" t="s">
        <v>110</v>
      </c>
      <c r="K243" s="26">
        <v>20340</v>
      </c>
      <c r="L243" s="31" t="s">
        <v>2458</v>
      </c>
      <c r="M243" s="26">
        <v>4305</v>
      </c>
      <c r="N243" s="31" t="s">
        <v>920</v>
      </c>
      <c r="O243" s="26">
        <v>8117990849</v>
      </c>
      <c r="P243" s="29" t="s">
        <v>2188</v>
      </c>
      <c r="Q243" s="31" t="s">
        <v>13</v>
      </c>
      <c r="R243" s="26" t="s">
        <v>2248</v>
      </c>
      <c r="S243" s="31" t="s">
        <v>2215</v>
      </c>
      <c r="T243" s="26" t="s">
        <v>2254</v>
      </c>
      <c r="U243" s="31" t="s">
        <v>2253</v>
      </c>
      <c r="V243" s="31" t="s">
        <v>924</v>
      </c>
      <c r="W243" s="31" t="s">
        <v>925</v>
      </c>
      <c r="X243" s="31" t="s">
        <v>99</v>
      </c>
      <c r="Y243" s="31">
        <v>66260</v>
      </c>
      <c r="Z243" s="31" t="s">
        <v>774</v>
      </c>
      <c r="AA243" s="31" t="s">
        <v>775</v>
      </c>
      <c r="AB243" s="31" t="s">
        <v>926</v>
      </c>
      <c r="AC243" s="31">
        <v>8183568090</v>
      </c>
      <c r="AD243" s="31">
        <v>8183568090</v>
      </c>
    </row>
    <row r="244" spans="1:33" x14ac:dyDescent="0.2">
      <c r="A244" s="26">
        <v>11271</v>
      </c>
      <c r="B244" s="26">
        <f>VLOOKUP(A244,Hoja1!A:A,1,FALSE)</f>
        <v>11271</v>
      </c>
      <c r="C244" s="27" t="s">
        <v>927</v>
      </c>
      <c r="D244" s="28" t="s">
        <v>771</v>
      </c>
      <c r="E244" s="29" t="s">
        <v>772</v>
      </c>
      <c r="F244" s="29" t="s">
        <v>12</v>
      </c>
      <c r="G244" s="30">
        <v>36613</v>
      </c>
      <c r="H244" s="26" t="s">
        <v>49</v>
      </c>
      <c r="I244" s="26" t="s">
        <v>110</v>
      </c>
      <c r="J244" s="26" t="s">
        <v>110</v>
      </c>
      <c r="K244" s="26">
        <v>21904</v>
      </c>
      <c r="L244" s="31" t="s">
        <v>2071</v>
      </c>
      <c r="M244" s="26">
        <v>4305</v>
      </c>
      <c r="N244" s="31" t="s">
        <v>920</v>
      </c>
      <c r="O244" s="26">
        <v>8117990849</v>
      </c>
      <c r="P244" s="29" t="s">
        <v>2188</v>
      </c>
      <c r="Q244" s="31" t="s">
        <v>13</v>
      </c>
      <c r="R244" s="26" t="s">
        <v>2248</v>
      </c>
      <c r="S244" s="31" t="s">
        <v>2215</v>
      </c>
      <c r="T244" s="26" t="s">
        <v>2254</v>
      </c>
      <c r="U244" s="31" t="s">
        <v>2253</v>
      </c>
      <c r="V244" s="31" t="s">
        <v>928</v>
      </c>
      <c r="W244" s="31" t="s">
        <v>929</v>
      </c>
      <c r="X244" s="31" t="s">
        <v>99</v>
      </c>
      <c r="Y244" s="31">
        <v>64830</v>
      </c>
      <c r="Z244" s="31" t="s">
        <v>774</v>
      </c>
      <c r="AA244" s="31" t="s">
        <v>775</v>
      </c>
      <c r="AB244" s="31" t="s">
        <v>930</v>
      </c>
      <c r="AC244" s="31">
        <v>8125599307</v>
      </c>
      <c r="AD244" s="31">
        <v>8183559131</v>
      </c>
    </row>
    <row r="245" spans="1:33" x14ac:dyDescent="0.2">
      <c r="A245" s="26">
        <v>11313</v>
      </c>
      <c r="B245" s="26">
        <f>VLOOKUP(A245,Hoja1!A:A,1,FALSE)</f>
        <v>11313</v>
      </c>
      <c r="C245" s="27" t="s">
        <v>931</v>
      </c>
      <c r="D245" s="28" t="s">
        <v>771</v>
      </c>
      <c r="E245" s="29" t="s">
        <v>772</v>
      </c>
      <c r="F245" s="29" t="s">
        <v>12</v>
      </c>
      <c r="G245" s="30">
        <v>36717</v>
      </c>
      <c r="H245" s="26" t="s">
        <v>49</v>
      </c>
      <c r="I245" s="26" t="s">
        <v>110</v>
      </c>
      <c r="J245" s="26" t="s">
        <v>110</v>
      </c>
      <c r="K245" s="26">
        <v>23213</v>
      </c>
      <c r="L245" s="31" t="s">
        <v>2072</v>
      </c>
      <c r="M245" s="26">
        <v>4305</v>
      </c>
      <c r="N245" s="31" t="s">
        <v>920</v>
      </c>
      <c r="O245" s="26">
        <v>8117990849</v>
      </c>
      <c r="P245" s="29" t="s">
        <v>2188</v>
      </c>
      <c r="Q245" s="31" t="s">
        <v>13</v>
      </c>
      <c r="R245" s="26" t="s">
        <v>2248</v>
      </c>
      <c r="S245" s="31" t="s">
        <v>2215</v>
      </c>
      <c r="T245" s="26" t="s">
        <v>2254</v>
      </c>
      <c r="U245" s="31" t="s">
        <v>2253</v>
      </c>
      <c r="V245" s="31" t="s">
        <v>932</v>
      </c>
      <c r="W245" s="31" t="s">
        <v>933</v>
      </c>
      <c r="X245" s="31" t="s">
        <v>99</v>
      </c>
      <c r="Y245" s="31">
        <v>64840</v>
      </c>
      <c r="Z245" s="31" t="s">
        <v>774</v>
      </c>
      <c r="AA245" s="31" t="s">
        <v>775</v>
      </c>
      <c r="AB245" s="31" t="s">
        <v>934</v>
      </c>
      <c r="AC245" s="31">
        <v>8123164484</v>
      </c>
      <c r="AD245" s="31">
        <v>8183588896</v>
      </c>
    </row>
    <row r="246" spans="1:33" x14ac:dyDescent="0.2">
      <c r="A246" s="26">
        <v>11458</v>
      </c>
      <c r="B246" s="26">
        <f>VLOOKUP(A246,Hoja1!A:A,1,FALSE)</f>
        <v>11458</v>
      </c>
      <c r="C246" s="27" t="s">
        <v>935</v>
      </c>
      <c r="D246" s="28" t="s">
        <v>771</v>
      </c>
      <c r="E246" s="29" t="s">
        <v>772</v>
      </c>
      <c r="F246" s="29" t="s">
        <v>12</v>
      </c>
      <c r="G246" s="30">
        <v>38502</v>
      </c>
      <c r="H246" s="26" t="s">
        <v>49</v>
      </c>
      <c r="I246" s="26" t="s">
        <v>110</v>
      </c>
      <c r="J246" s="26" t="s">
        <v>110</v>
      </c>
      <c r="K246" s="26">
        <v>29595</v>
      </c>
      <c r="L246" s="31" t="s">
        <v>2073</v>
      </c>
      <c r="M246" s="26">
        <v>4305</v>
      </c>
      <c r="N246" s="31" t="s">
        <v>920</v>
      </c>
      <c r="O246" s="26">
        <v>8117990849</v>
      </c>
      <c r="P246" s="29" t="s">
        <v>2188</v>
      </c>
      <c r="Q246" s="31" t="s">
        <v>13</v>
      </c>
      <c r="R246" s="26" t="s">
        <v>2248</v>
      </c>
      <c r="S246" s="31" t="s">
        <v>2215</v>
      </c>
      <c r="T246" s="26" t="s">
        <v>2254</v>
      </c>
      <c r="U246" s="31" t="s">
        <v>2253</v>
      </c>
      <c r="V246" s="31" t="s">
        <v>936</v>
      </c>
      <c r="W246" s="31" t="s">
        <v>937</v>
      </c>
      <c r="X246" s="31" t="s">
        <v>99</v>
      </c>
      <c r="Y246" s="31">
        <v>64630</v>
      </c>
      <c r="Z246" s="31" t="s">
        <v>774</v>
      </c>
      <c r="AA246" s="31" t="s">
        <v>775</v>
      </c>
      <c r="AB246" s="31" t="s">
        <v>938</v>
      </c>
      <c r="AC246" s="31">
        <v>8181439364</v>
      </c>
      <c r="AD246" s="31">
        <v>8181439364</v>
      </c>
    </row>
    <row r="247" spans="1:33" x14ac:dyDescent="0.2">
      <c r="A247" s="26">
        <v>11526</v>
      </c>
      <c r="B247" s="26">
        <f>VLOOKUP(A247,Hoja1!A:A,1,FALSE)</f>
        <v>11526</v>
      </c>
      <c r="C247" s="27" t="s">
        <v>939</v>
      </c>
      <c r="D247" s="28" t="s">
        <v>771</v>
      </c>
      <c r="E247" s="29" t="s">
        <v>772</v>
      </c>
      <c r="F247" s="29" t="s">
        <v>12</v>
      </c>
      <c r="G247" s="30">
        <v>39663</v>
      </c>
      <c r="H247" s="26" t="s">
        <v>49</v>
      </c>
      <c r="I247" s="26" t="s">
        <v>110</v>
      </c>
      <c r="J247" s="26" t="s">
        <v>110</v>
      </c>
      <c r="K247" s="26">
        <v>99061</v>
      </c>
      <c r="L247" s="31" t="s">
        <v>2074</v>
      </c>
      <c r="M247" s="26">
        <v>4305</v>
      </c>
      <c r="N247" s="31" t="s">
        <v>920</v>
      </c>
      <c r="O247" s="26">
        <v>8117990849</v>
      </c>
      <c r="P247" s="29" t="s">
        <v>2188</v>
      </c>
      <c r="Q247" s="31" t="s">
        <v>13</v>
      </c>
      <c r="R247" s="26" t="s">
        <v>2248</v>
      </c>
      <c r="S247" s="31" t="s">
        <v>2215</v>
      </c>
      <c r="T247" s="26" t="s">
        <v>2254</v>
      </c>
      <c r="U247" s="31" t="s">
        <v>2253</v>
      </c>
      <c r="V247" s="31" t="s">
        <v>940</v>
      </c>
      <c r="W247" s="31" t="s">
        <v>941</v>
      </c>
      <c r="X247" s="31" t="s">
        <v>99</v>
      </c>
      <c r="Y247" s="31">
        <v>64989</v>
      </c>
      <c r="Z247" s="31" t="s">
        <v>774</v>
      </c>
      <c r="AA247" s="31" t="s">
        <v>775</v>
      </c>
      <c r="AB247" s="31" t="s">
        <v>942</v>
      </c>
      <c r="AC247" s="31">
        <v>8183179900</v>
      </c>
      <c r="AD247" s="31">
        <v>8183179900</v>
      </c>
    </row>
    <row r="248" spans="1:33" x14ac:dyDescent="0.2">
      <c r="A248" s="26">
        <v>11572</v>
      </c>
      <c r="B248" s="26">
        <f>VLOOKUP(A248,Hoja1!A:A,1,FALSE)</f>
        <v>11572</v>
      </c>
      <c r="C248" s="27" t="s">
        <v>943</v>
      </c>
      <c r="D248" s="28" t="s">
        <v>771</v>
      </c>
      <c r="E248" s="29" t="s">
        <v>772</v>
      </c>
      <c r="F248" s="29" t="s">
        <v>12</v>
      </c>
      <c r="G248" s="30">
        <v>42216</v>
      </c>
      <c r="H248" s="26" t="s">
        <v>49</v>
      </c>
      <c r="I248" s="26" t="s">
        <v>110</v>
      </c>
      <c r="J248" s="26" t="s">
        <v>110</v>
      </c>
      <c r="K248" s="26" t="s">
        <v>395</v>
      </c>
      <c r="L248" s="31" t="s">
        <v>395</v>
      </c>
      <c r="M248" s="26">
        <v>4305</v>
      </c>
      <c r="N248" s="31" t="s">
        <v>920</v>
      </c>
      <c r="O248" s="26">
        <v>8117990849</v>
      </c>
      <c r="P248" s="29" t="s">
        <v>2188</v>
      </c>
      <c r="Q248" s="31" t="s">
        <v>13</v>
      </c>
      <c r="R248" s="26" t="s">
        <v>2248</v>
      </c>
      <c r="S248" s="31" t="s">
        <v>2215</v>
      </c>
      <c r="T248" s="26" t="s">
        <v>2254</v>
      </c>
      <c r="U248" s="31" t="s">
        <v>2253</v>
      </c>
      <c r="V248" s="31" t="s">
        <v>944</v>
      </c>
      <c r="W248" s="31" t="s">
        <v>945</v>
      </c>
      <c r="X248" s="31" t="s">
        <v>99</v>
      </c>
      <c r="Y248" s="31">
        <v>64910</v>
      </c>
      <c r="Z248" s="31" t="s">
        <v>774</v>
      </c>
      <c r="AA248" s="31" t="s">
        <v>775</v>
      </c>
      <c r="AB248" s="31" t="s">
        <v>946</v>
      </c>
      <c r="AC248" s="31">
        <v>8182555912</v>
      </c>
      <c r="AD248" s="31">
        <v>8183490880</v>
      </c>
    </row>
    <row r="249" spans="1:33" x14ac:dyDescent="0.2">
      <c r="A249" s="26">
        <v>12381</v>
      </c>
      <c r="B249" s="26" t="e">
        <f>VLOOKUP(A249,Hoja1!A:A,1,FALSE)</f>
        <v>#N/A</v>
      </c>
      <c r="C249" s="27" t="s">
        <v>2238</v>
      </c>
      <c r="D249" s="28" t="s">
        <v>771</v>
      </c>
      <c r="E249" s="29" t="s">
        <v>772</v>
      </c>
      <c r="F249" s="29" t="s">
        <v>12</v>
      </c>
      <c r="G249" s="30">
        <v>43775</v>
      </c>
      <c r="H249" s="26" t="s">
        <v>49</v>
      </c>
      <c r="I249" s="26" t="s">
        <v>110</v>
      </c>
      <c r="J249" s="26" t="s">
        <v>110</v>
      </c>
      <c r="K249" s="26">
        <v>24445</v>
      </c>
      <c r="L249" s="31" t="s">
        <v>2054</v>
      </c>
      <c r="M249" s="26">
        <v>4305</v>
      </c>
      <c r="N249" s="31" t="s">
        <v>920</v>
      </c>
      <c r="O249" s="26">
        <v>8117990849</v>
      </c>
      <c r="P249" s="29" t="s">
        <v>2188</v>
      </c>
      <c r="Q249" s="31" t="s">
        <v>13</v>
      </c>
      <c r="R249" s="26" t="s">
        <v>2248</v>
      </c>
      <c r="S249" s="31" t="s">
        <v>2215</v>
      </c>
      <c r="T249" s="26" t="s">
        <v>2254</v>
      </c>
      <c r="U249" s="31" t="s">
        <v>2253</v>
      </c>
      <c r="V249" s="31" t="s">
        <v>2233</v>
      </c>
      <c r="W249" s="31" t="s">
        <v>2234</v>
      </c>
      <c r="X249" s="31" t="s">
        <v>99</v>
      </c>
      <c r="Y249" s="31">
        <v>66273</v>
      </c>
      <c r="Z249" s="31" t="s">
        <v>2235</v>
      </c>
      <c r="AA249" s="31" t="s">
        <v>775</v>
      </c>
      <c r="AB249" s="31" t="s">
        <v>2236</v>
      </c>
      <c r="AC249" s="31">
        <v>8110889202</v>
      </c>
      <c r="AD249" s="31">
        <v>8138490017</v>
      </c>
    </row>
    <row r="250" spans="1:33" x14ac:dyDescent="0.2">
      <c r="A250" s="15">
        <v>12391</v>
      </c>
      <c r="B250" s="26" t="e">
        <f>VLOOKUP(A250,Hoja1!A:A,1,FALSE)</f>
        <v>#N/A</v>
      </c>
      <c r="C250" s="13" t="s">
        <v>2247</v>
      </c>
      <c r="D250" s="35" t="s">
        <v>771</v>
      </c>
      <c r="E250" s="29" t="s">
        <v>772</v>
      </c>
      <c r="F250" s="29" t="s">
        <v>12</v>
      </c>
      <c r="G250" s="34">
        <v>43825</v>
      </c>
      <c r="H250" s="15" t="s">
        <v>49</v>
      </c>
      <c r="I250" s="15" t="s">
        <v>110</v>
      </c>
      <c r="J250" s="15" t="s">
        <v>110</v>
      </c>
      <c r="K250" s="26">
        <v>27910</v>
      </c>
      <c r="L250" s="31" t="s">
        <v>2070</v>
      </c>
      <c r="M250" s="26">
        <v>4305</v>
      </c>
      <c r="N250" s="31" t="s">
        <v>920</v>
      </c>
      <c r="O250" s="26">
        <v>8117990849</v>
      </c>
      <c r="P250" s="29" t="s">
        <v>2188</v>
      </c>
      <c r="Q250" s="31" t="s">
        <v>13</v>
      </c>
      <c r="R250" s="26" t="s">
        <v>2248</v>
      </c>
      <c r="S250" s="31" t="s">
        <v>2215</v>
      </c>
      <c r="T250" s="26" t="s">
        <v>2254</v>
      </c>
      <c r="U250" s="31" t="s">
        <v>2253</v>
      </c>
      <c r="V250" s="13" t="s">
        <v>2249</v>
      </c>
      <c r="W250" s="13" t="s">
        <v>2250</v>
      </c>
      <c r="X250" s="13" t="s">
        <v>2235</v>
      </c>
      <c r="Y250" s="13">
        <v>66233</v>
      </c>
      <c r="Z250" s="31" t="s">
        <v>2235</v>
      </c>
      <c r="AA250" s="13" t="s">
        <v>775</v>
      </c>
      <c r="AB250" s="31" t="s">
        <v>2251</v>
      </c>
      <c r="AC250" s="31" t="s">
        <v>99</v>
      </c>
      <c r="AD250" s="31" t="s">
        <v>2252</v>
      </c>
      <c r="AF250" s="31"/>
      <c r="AG250" s="31"/>
    </row>
    <row r="251" spans="1:33" x14ac:dyDescent="0.2">
      <c r="A251" s="26">
        <v>11238</v>
      </c>
      <c r="B251" s="26">
        <f>VLOOKUP(A251,Hoja1!A:A,1,FALSE)</f>
        <v>11238</v>
      </c>
      <c r="C251" s="27" t="s">
        <v>947</v>
      </c>
      <c r="D251" s="28" t="s">
        <v>948</v>
      </c>
      <c r="E251" s="29" t="s">
        <v>949</v>
      </c>
      <c r="F251" s="29" t="s">
        <v>14</v>
      </c>
      <c r="G251" s="30">
        <v>36290</v>
      </c>
      <c r="H251" s="26" t="s">
        <v>49</v>
      </c>
      <c r="I251" s="26" t="s">
        <v>110</v>
      </c>
      <c r="J251" s="26" t="s">
        <v>110</v>
      </c>
      <c r="K251" s="26">
        <v>133330</v>
      </c>
      <c r="L251" s="31" t="s">
        <v>950</v>
      </c>
      <c r="M251" s="26">
        <v>6072</v>
      </c>
      <c r="N251" s="31" t="s">
        <v>951</v>
      </c>
      <c r="O251" s="26">
        <v>3315333269</v>
      </c>
      <c r="P251" s="29" t="s">
        <v>2189</v>
      </c>
      <c r="Q251" s="31" t="s">
        <v>15</v>
      </c>
      <c r="R251" s="26">
        <v>5513972258</v>
      </c>
      <c r="S251" s="31" t="s">
        <v>2216</v>
      </c>
      <c r="T251" s="26" t="s">
        <v>2254</v>
      </c>
      <c r="U251" s="31" t="s">
        <v>2253</v>
      </c>
      <c r="V251" s="31" t="s">
        <v>952</v>
      </c>
      <c r="W251" s="31" t="s">
        <v>953</v>
      </c>
      <c r="X251" s="31" t="s">
        <v>99</v>
      </c>
      <c r="Y251" s="31">
        <v>44840</v>
      </c>
      <c r="Z251" s="31" t="s">
        <v>954</v>
      </c>
      <c r="AA251" s="31" t="s">
        <v>955</v>
      </c>
      <c r="AB251" s="31" t="s">
        <v>956</v>
      </c>
      <c r="AC251" s="31">
        <v>3336393943</v>
      </c>
      <c r="AD251" s="31">
        <v>3336390508</v>
      </c>
    </row>
    <row r="252" spans="1:33" x14ac:dyDescent="0.2">
      <c r="A252" s="26">
        <v>11253</v>
      </c>
      <c r="B252" s="26">
        <f>VLOOKUP(A252,Hoja1!A:A,1,FALSE)</f>
        <v>11253</v>
      </c>
      <c r="C252" s="27" t="s">
        <v>957</v>
      </c>
      <c r="D252" s="28" t="s">
        <v>948</v>
      </c>
      <c r="E252" s="29" t="s">
        <v>949</v>
      </c>
      <c r="F252" s="29" t="s">
        <v>14</v>
      </c>
      <c r="G252" s="30">
        <v>36577</v>
      </c>
      <c r="H252" s="26" t="s">
        <v>49</v>
      </c>
      <c r="I252" s="26" t="s">
        <v>110</v>
      </c>
      <c r="J252" s="26" t="s">
        <v>110</v>
      </c>
      <c r="K252" s="26">
        <v>73146</v>
      </c>
      <c r="L252" s="31" t="s">
        <v>958</v>
      </c>
      <c r="M252" s="26">
        <v>6072</v>
      </c>
      <c r="N252" s="31" t="s">
        <v>951</v>
      </c>
      <c r="O252" s="26">
        <v>3315333269</v>
      </c>
      <c r="P252" s="29" t="s">
        <v>2189</v>
      </c>
      <c r="Q252" s="31" t="s">
        <v>15</v>
      </c>
      <c r="R252" s="26">
        <v>5513972258</v>
      </c>
      <c r="S252" s="31" t="s">
        <v>2216</v>
      </c>
      <c r="T252" s="26" t="s">
        <v>2254</v>
      </c>
      <c r="U252" s="31" t="s">
        <v>2253</v>
      </c>
      <c r="V252" s="31" t="s">
        <v>959</v>
      </c>
      <c r="W252" s="31" t="s">
        <v>960</v>
      </c>
      <c r="X252" s="31" t="s">
        <v>99</v>
      </c>
      <c r="Y252" s="31">
        <v>45525</v>
      </c>
      <c r="Z252" s="31" t="s">
        <v>961</v>
      </c>
      <c r="AA252" s="31" t="s">
        <v>955</v>
      </c>
      <c r="AB252" s="31" t="s">
        <v>962</v>
      </c>
      <c r="AC252" s="31">
        <v>3336015662</v>
      </c>
      <c r="AD252" s="31">
        <v>3336800166</v>
      </c>
    </row>
    <row r="253" spans="1:33" x14ac:dyDescent="0.2">
      <c r="A253" s="26">
        <v>11319</v>
      </c>
      <c r="B253" s="26">
        <f>VLOOKUP(A253,Hoja1!A:A,1,FALSE)</f>
        <v>11319</v>
      </c>
      <c r="C253" s="27" t="s">
        <v>963</v>
      </c>
      <c r="D253" s="28" t="s">
        <v>948</v>
      </c>
      <c r="E253" s="29" t="s">
        <v>949</v>
      </c>
      <c r="F253" s="29" t="s">
        <v>14</v>
      </c>
      <c r="G253" s="30">
        <v>37408</v>
      </c>
      <c r="H253" s="26" t="s">
        <v>49</v>
      </c>
      <c r="I253" s="26" t="s">
        <v>110</v>
      </c>
      <c r="J253" s="26" t="s">
        <v>110</v>
      </c>
      <c r="K253" s="26">
        <v>30143</v>
      </c>
      <c r="L253" s="31" t="s">
        <v>964</v>
      </c>
      <c r="M253" s="26">
        <v>6072</v>
      </c>
      <c r="N253" s="31" t="s">
        <v>951</v>
      </c>
      <c r="O253" s="26">
        <v>3315333269</v>
      </c>
      <c r="P253" s="29" t="s">
        <v>2189</v>
      </c>
      <c r="Q253" s="31" t="s">
        <v>15</v>
      </c>
      <c r="R253" s="26">
        <v>5513972258</v>
      </c>
      <c r="S253" s="31" t="s">
        <v>2216</v>
      </c>
      <c r="T253" s="26" t="s">
        <v>2254</v>
      </c>
      <c r="U253" s="31" t="s">
        <v>2253</v>
      </c>
      <c r="V253" s="31" t="s">
        <v>965</v>
      </c>
      <c r="W253" s="31" t="s">
        <v>89</v>
      </c>
      <c r="X253" s="31" t="s">
        <v>99</v>
      </c>
      <c r="Y253" s="31">
        <v>44100</v>
      </c>
      <c r="Z253" s="31" t="s">
        <v>954</v>
      </c>
      <c r="AA253" s="31" t="s">
        <v>955</v>
      </c>
      <c r="AB253" s="31" t="s">
        <v>966</v>
      </c>
      <c r="AC253" s="31">
        <v>3336141570</v>
      </c>
      <c r="AD253" s="31">
        <v>3336580908</v>
      </c>
    </row>
    <row r="254" spans="1:33" x14ac:dyDescent="0.2">
      <c r="A254" s="26">
        <v>11389</v>
      </c>
      <c r="B254" s="26">
        <f>VLOOKUP(A254,Hoja1!A:A,1,FALSE)</f>
        <v>11389</v>
      </c>
      <c r="C254" s="27" t="s">
        <v>960</v>
      </c>
      <c r="D254" s="28" t="s">
        <v>948</v>
      </c>
      <c r="E254" s="29" t="s">
        <v>949</v>
      </c>
      <c r="F254" s="29" t="s">
        <v>14</v>
      </c>
      <c r="G254" s="30">
        <v>37408</v>
      </c>
      <c r="H254" s="26" t="s">
        <v>49</v>
      </c>
      <c r="I254" s="26" t="s">
        <v>110</v>
      </c>
      <c r="J254" s="26" t="s">
        <v>110</v>
      </c>
      <c r="K254" s="26">
        <v>34335</v>
      </c>
      <c r="L254" s="31" t="s">
        <v>2451</v>
      </c>
      <c r="M254" s="26">
        <v>6072</v>
      </c>
      <c r="N254" s="31" t="s">
        <v>951</v>
      </c>
      <c r="O254" s="26">
        <v>3315333269</v>
      </c>
      <c r="P254" s="29" t="s">
        <v>2189</v>
      </c>
      <c r="Q254" s="31" t="s">
        <v>15</v>
      </c>
      <c r="R254" s="26">
        <v>5513972258</v>
      </c>
      <c r="S254" s="31" t="s">
        <v>2216</v>
      </c>
      <c r="T254" s="26" t="s">
        <v>2254</v>
      </c>
      <c r="U254" s="31" t="s">
        <v>2253</v>
      </c>
      <c r="V254" s="31" t="s">
        <v>967</v>
      </c>
      <c r="W254" s="31" t="s">
        <v>968</v>
      </c>
      <c r="X254" s="31" t="s">
        <v>99</v>
      </c>
      <c r="Y254" s="31">
        <v>45400</v>
      </c>
      <c r="Z254" s="31" t="s">
        <v>961</v>
      </c>
      <c r="AA254" s="31" t="s">
        <v>955</v>
      </c>
      <c r="AB254" s="31" t="s">
        <v>969</v>
      </c>
      <c r="AC254" s="31">
        <v>3336835475</v>
      </c>
      <c r="AD254" s="31">
        <v>3336834308</v>
      </c>
    </row>
    <row r="255" spans="1:33" x14ac:dyDescent="0.2">
      <c r="A255" s="26">
        <v>11394</v>
      </c>
      <c r="B255" s="26">
        <f>VLOOKUP(A255,Hoja1!A:A,1,FALSE)</f>
        <v>11394</v>
      </c>
      <c r="C255" s="27" t="s">
        <v>970</v>
      </c>
      <c r="D255" s="28" t="s">
        <v>948</v>
      </c>
      <c r="E255" s="29" t="s">
        <v>949</v>
      </c>
      <c r="F255" s="29" t="s">
        <v>14</v>
      </c>
      <c r="G255" s="30">
        <v>37408</v>
      </c>
      <c r="H255" s="26" t="s">
        <v>49</v>
      </c>
      <c r="I255" s="26" t="s">
        <v>110</v>
      </c>
      <c r="J255" s="26" t="s">
        <v>110</v>
      </c>
      <c r="K255" s="26">
        <v>44422</v>
      </c>
      <c r="L255" s="31" t="s">
        <v>2108</v>
      </c>
      <c r="M255" s="26">
        <v>6072</v>
      </c>
      <c r="N255" s="31" t="s">
        <v>951</v>
      </c>
      <c r="O255" s="26">
        <v>3315333269</v>
      </c>
      <c r="P255" s="29" t="s">
        <v>2189</v>
      </c>
      <c r="Q255" s="31" t="s">
        <v>15</v>
      </c>
      <c r="R255" s="26">
        <v>5513972258</v>
      </c>
      <c r="S255" s="31" t="s">
        <v>2216</v>
      </c>
      <c r="T255" s="26" t="s">
        <v>2254</v>
      </c>
      <c r="U255" s="31" t="s">
        <v>2253</v>
      </c>
      <c r="V255" s="31" t="s">
        <v>971</v>
      </c>
      <c r="W255" s="31" t="s">
        <v>972</v>
      </c>
      <c r="X255" s="31" t="s">
        <v>99</v>
      </c>
      <c r="Y255" s="31">
        <v>44700</v>
      </c>
      <c r="Z255" s="31" t="s">
        <v>954</v>
      </c>
      <c r="AA255" s="31" t="s">
        <v>955</v>
      </c>
      <c r="AB255" s="31" t="s">
        <v>973</v>
      </c>
      <c r="AC255" s="31">
        <v>3336440229</v>
      </c>
      <c r="AD255" s="31">
        <v>3336438584</v>
      </c>
    </row>
    <row r="256" spans="1:33" x14ac:dyDescent="0.2">
      <c r="A256" s="26">
        <v>11402</v>
      </c>
      <c r="B256" s="26">
        <f>VLOOKUP(A256,Hoja1!A:A,1,FALSE)</f>
        <v>11402</v>
      </c>
      <c r="C256" s="27" t="s">
        <v>974</v>
      </c>
      <c r="D256" s="28" t="s">
        <v>948</v>
      </c>
      <c r="E256" s="29" t="s">
        <v>949</v>
      </c>
      <c r="F256" s="29" t="s">
        <v>14</v>
      </c>
      <c r="G256" s="30">
        <v>37564</v>
      </c>
      <c r="H256" s="26" t="s">
        <v>49</v>
      </c>
      <c r="I256" s="26" t="s">
        <v>110</v>
      </c>
      <c r="J256" s="26" t="s">
        <v>110</v>
      </c>
      <c r="K256" s="26">
        <v>33805</v>
      </c>
      <c r="L256" s="31" t="s">
        <v>975</v>
      </c>
      <c r="M256" s="26">
        <v>6072</v>
      </c>
      <c r="N256" s="31" t="s">
        <v>951</v>
      </c>
      <c r="O256" s="26">
        <v>3315333269</v>
      </c>
      <c r="P256" s="29" t="s">
        <v>2189</v>
      </c>
      <c r="Q256" s="31" t="s">
        <v>15</v>
      </c>
      <c r="R256" s="26">
        <v>5513972258</v>
      </c>
      <c r="S256" s="31" t="s">
        <v>2216</v>
      </c>
      <c r="T256" s="26" t="s">
        <v>2254</v>
      </c>
      <c r="U256" s="31" t="s">
        <v>2253</v>
      </c>
      <c r="V256" s="31" t="s">
        <v>976</v>
      </c>
      <c r="W256" s="31" t="s">
        <v>977</v>
      </c>
      <c r="X256" s="31" t="s">
        <v>99</v>
      </c>
      <c r="Y256" s="31">
        <v>44940</v>
      </c>
      <c r="Z256" s="31" t="s">
        <v>954</v>
      </c>
      <c r="AA256" s="31" t="s">
        <v>955</v>
      </c>
      <c r="AB256" s="31" t="s">
        <v>978</v>
      </c>
      <c r="AC256" s="31">
        <v>3336920197</v>
      </c>
      <c r="AD256" s="31">
        <v>3336920192</v>
      </c>
    </row>
    <row r="257" spans="1:30" x14ac:dyDescent="0.2">
      <c r="A257" s="26">
        <v>11481</v>
      </c>
      <c r="B257" s="26">
        <f>VLOOKUP(A257,Hoja1!A:A,1,FALSE)</f>
        <v>11481</v>
      </c>
      <c r="C257" s="27" t="s">
        <v>979</v>
      </c>
      <c r="D257" s="28" t="s">
        <v>948</v>
      </c>
      <c r="E257" s="29" t="s">
        <v>949</v>
      </c>
      <c r="F257" s="29" t="s">
        <v>14</v>
      </c>
      <c r="G257" s="30">
        <v>38722</v>
      </c>
      <c r="H257" s="26" t="s">
        <v>49</v>
      </c>
      <c r="I257" s="26" t="s">
        <v>110</v>
      </c>
      <c r="J257" s="26" t="s">
        <v>110</v>
      </c>
      <c r="K257" s="26">
        <v>34160</v>
      </c>
      <c r="L257" s="31" t="s">
        <v>980</v>
      </c>
      <c r="M257" s="26">
        <v>6072</v>
      </c>
      <c r="N257" s="31" t="s">
        <v>951</v>
      </c>
      <c r="O257" s="26">
        <v>3315333269</v>
      </c>
      <c r="P257" s="29" t="s">
        <v>2189</v>
      </c>
      <c r="Q257" s="31" t="s">
        <v>15</v>
      </c>
      <c r="R257" s="26">
        <v>5513972258</v>
      </c>
      <c r="S257" s="31" t="s">
        <v>2216</v>
      </c>
      <c r="T257" s="26" t="s">
        <v>2254</v>
      </c>
      <c r="U257" s="31" t="s">
        <v>2253</v>
      </c>
      <c r="V257" s="31" t="s">
        <v>981</v>
      </c>
      <c r="W257" s="31" t="s">
        <v>982</v>
      </c>
      <c r="X257" s="31" t="s">
        <v>99</v>
      </c>
      <c r="Y257" s="31">
        <v>44756</v>
      </c>
      <c r="Z257" s="31" t="s">
        <v>954</v>
      </c>
      <c r="AA257" s="31" t="s">
        <v>955</v>
      </c>
      <c r="AB257" s="31" t="s">
        <v>983</v>
      </c>
      <c r="AC257" s="31">
        <v>3313938450</v>
      </c>
      <c r="AD257" s="31">
        <v>3336498595</v>
      </c>
    </row>
    <row r="258" spans="1:30" x14ac:dyDescent="0.2">
      <c r="A258" s="26">
        <v>11522</v>
      </c>
      <c r="B258" s="26">
        <f>VLOOKUP(A258,Hoja1!A:A,1,FALSE)</f>
        <v>11522</v>
      </c>
      <c r="C258" s="27" t="s">
        <v>984</v>
      </c>
      <c r="D258" s="28" t="s">
        <v>948</v>
      </c>
      <c r="E258" s="29" t="s">
        <v>949</v>
      </c>
      <c r="F258" s="29" t="s">
        <v>14</v>
      </c>
      <c r="G258" s="30">
        <v>39508</v>
      </c>
      <c r="H258" s="26" t="s">
        <v>49</v>
      </c>
      <c r="I258" s="26" t="s">
        <v>110</v>
      </c>
      <c r="J258" s="26" t="s">
        <v>110</v>
      </c>
      <c r="K258" s="26">
        <v>33031</v>
      </c>
      <c r="L258" s="31" t="s">
        <v>985</v>
      </c>
      <c r="M258" s="26">
        <v>6072</v>
      </c>
      <c r="N258" s="31" t="s">
        <v>951</v>
      </c>
      <c r="O258" s="26">
        <v>3315333269</v>
      </c>
      <c r="P258" s="29" t="s">
        <v>2189</v>
      </c>
      <c r="Q258" s="31" t="s">
        <v>15</v>
      </c>
      <c r="R258" s="26">
        <v>5513972258</v>
      </c>
      <c r="S258" s="31" t="s">
        <v>2216</v>
      </c>
      <c r="T258" s="26" t="s">
        <v>2254</v>
      </c>
      <c r="U258" s="31" t="s">
        <v>2253</v>
      </c>
      <c r="V258" s="31" t="s">
        <v>986</v>
      </c>
      <c r="W258" s="31" t="s">
        <v>987</v>
      </c>
      <c r="X258" s="31" t="s">
        <v>99</v>
      </c>
      <c r="Y258" s="31">
        <v>44240</v>
      </c>
      <c r="Z258" s="31" t="s">
        <v>954</v>
      </c>
      <c r="AA258" s="31" t="s">
        <v>955</v>
      </c>
      <c r="AB258" s="31" t="s">
        <v>988</v>
      </c>
      <c r="AC258" s="31">
        <v>3336744778</v>
      </c>
      <c r="AD258" s="31">
        <v>3336745522</v>
      </c>
    </row>
    <row r="259" spans="1:30" x14ac:dyDescent="0.2">
      <c r="A259" s="26">
        <v>11577</v>
      </c>
      <c r="B259" s="26">
        <f>VLOOKUP(A259,Hoja1!A:A,1,FALSE)</f>
        <v>11577</v>
      </c>
      <c r="C259" s="27" t="s">
        <v>989</v>
      </c>
      <c r="D259" s="28" t="s">
        <v>948</v>
      </c>
      <c r="E259" s="29" t="s">
        <v>949</v>
      </c>
      <c r="F259" s="29" t="s">
        <v>14</v>
      </c>
      <c r="G259" s="30">
        <v>42250</v>
      </c>
      <c r="H259" s="26" t="s">
        <v>49</v>
      </c>
      <c r="I259" s="26" t="s">
        <v>110</v>
      </c>
      <c r="J259" s="26" t="s">
        <v>110</v>
      </c>
      <c r="K259" s="26">
        <v>34265</v>
      </c>
      <c r="L259" s="31" t="s">
        <v>2126</v>
      </c>
      <c r="M259" s="26">
        <v>6072</v>
      </c>
      <c r="N259" s="31" t="s">
        <v>951</v>
      </c>
      <c r="O259" s="26">
        <v>3315333269</v>
      </c>
      <c r="P259" s="29" t="s">
        <v>2189</v>
      </c>
      <c r="Q259" s="31" t="s">
        <v>15</v>
      </c>
      <c r="R259" s="26">
        <v>5513972258</v>
      </c>
      <c r="S259" s="31" t="s">
        <v>2216</v>
      </c>
      <c r="T259" s="26" t="s">
        <v>2254</v>
      </c>
      <c r="U259" s="31" t="s">
        <v>2253</v>
      </c>
      <c r="V259" s="31" t="s">
        <v>991</v>
      </c>
      <c r="W259" s="31" t="s">
        <v>992</v>
      </c>
      <c r="X259" s="31" t="s">
        <v>99</v>
      </c>
      <c r="Y259" s="31">
        <v>45588</v>
      </c>
      <c r="Z259" s="31" t="s">
        <v>954</v>
      </c>
      <c r="AA259" s="31" t="s">
        <v>955</v>
      </c>
      <c r="AB259" s="31" t="s">
        <v>993</v>
      </c>
      <c r="AC259" s="31">
        <v>3338607489</v>
      </c>
      <c r="AD259" s="31">
        <v>3338607411</v>
      </c>
    </row>
    <row r="260" spans="1:30" x14ac:dyDescent="0.2">
      <c r="A260" s="26">
        <v>11959</v>
      </c>
      <c r="B260" s="26">
        <f>VLOOKUP(A260,Hoja1!A:A,1,FALSE)</f>
        <v>11959</v>
      </c>
      <c r="C260" s="27" t="s">
        <v>994</v>
      </c>
      <c r="D260" s="28" t="s">
        <v>948</v>
      </c>
      <c r="E260" s="29" t="s">
        <v>949</v>
      </c>
      <c r="F260" s="29" t="s">
        <v>14</v>
      </c>
      <c r="G260" s="30">
        <v>42348</v>
      </c>
      <c r="H260" s="26" t="s">
        <v>49</v>
      </c>
      <c r="I260" s="26" t="s">
        <v>50</v>
      </c>
      <c r="J260" s="26" t="s">
        <v>206</v>
      </c>
      <c r="K260" s="26">
        <v>72227</v>
      </c>
      <c r="L260" s="31" t="s">
        <v>995</v>
      </c>
      <c r="M260" s="26">
        <v>6072</v>
      </c>
      <c r="N260" s="31" t="s">
        <v>951</v>
      </c>
      <c r="O260" s="26">
        <v>3315333269</v>
      </c>
      <c r="P260" s="29" t="s">
        <v>2189</v>
      </c>
      <c r="Q260" s="31" t="s">
        <v>15</v>
      </c>
      <c r="R260" s="26">
        <v>5513972258</v>
      </c>
      <c r="S260" s="31" t="s">
        <v>2216</v>
      </c>
      <c r="T260" s="26" t="s">
        <v>2254</v>
      </c>
      <c r="U260" s="31" t="s">
        <v>2253</v>
      </c>
      <c r="V260" s="31" t="s">
        <v>996</v>
      </c>
      <c r="W260" s="31" t="s">
        <v>994</v>
      </c>
      <c r="X260" s="31" t="s">
        <v>99</v>
      </c>
      <c r="Y260" s="31">
        <v>44100</v>
      </c>
      <c r="Z260" s="31" t="s">
        <v>954</v>
      </c>
      <c r="AA260" s="31" t="s">
        <v>955</v>
      </c>
      <c r="AB260" s="31" t="s">
        <v>997</v>
      </c>
      <c r="AC260" s="31">
        <v>3336135645</v>
      </c>
      <c r="AD260" s="31">
        <v>3336135645</v>
      </c>
    </row>
    <row r="261" spans="1:30" x14ac:dyDescent="0.2">
      <c r="A261" s="26">
        <v>11218</v>
      </c>
      <c r="B261" s="26">
        <f>VLOOKUP(A261,Hoja1!A:A,1,FALSE)</f>
        <v>11218</v>
      </c>
      <c r="C261" s="27" t="s">
        <v>998</v>
      </c>
      <c r="D261" s="28" t="s">
        <v>948</v>
      </c>
      <c r="E261" s="29" t="s">
        <v>949</v>
      </c>
      <c r="F261" s="29" t="s">
        <v>14</v>
      </c>
      <c r="G261" s="30">
        <v>36080</v>
      </c>
      <c r="H261" s="26" t="s">
        <v>49</v>
      </c>
      <c r="I261" s="26" t="s">
        <v>110</v>
      </c>
      <c r="J261" s="26" t="s">
        <v>110</v>
      </c>
      <c r="K261" s="26">
        <v>46969</v>
      </c>
      <c r="L261" s="31" t="s">
        <v>999</v>
      </c>
      <c r="M261" s="26">
        <v>5380</v>
      </c>
      <c r="N261" s="31" t="s">
        <v>1000</v>
      </c>
      <c r="O261" s="26">
        <v>3315991394</v>
      </c>
      <c r="P261" s="29" t="s">
        <v>2190</v>
      </c>
      <c r="Q261" s="31" t="s">
        <v>15</v>
      </c>
      <c r="R261" s="26">
        <v>5513972258</v>
      </c>
      <c r="S261" s="31" t="s">
        <v>2216</v>
      </c>
      <c r="T261" s="26" t="s">
        <v>2254</v>
      </c>
      <c r="U261" s="31" t="s">
        <v>2253</v>
      </c>
      <c r="V261" s="31" t="s">
        <v>1001</v>
      </c>
      <c r="W261" s="31" t="s">
        <v>491</v>
      </c>
      <c r="X261" s="31" t="s">
        <v>99</v>
      </c>
      <c r="Y261" s="31">
        <v>28016</v>
      </c>
      <c r="Z261" s="31" t="s">
        <v>998</v>
      </c>
      <c r="AA261" s="31" t="s">
        <v>998</v>
      </c>
      <c r="AB261" s="31" t="s">
        <v>1002</v>
      </c>
      <c r="AC261" s="31">
        <v>3123129699</v>
      </c>
      <c r="AD261" s="31">
        <v>3123130000</v>
      </c>
    </row>
    <row r="262" spans="1:30" x14ac:dyDescent="0.2">
      <c r="A262" s="26">
        <v>11249</v>
      </c>
      <c r="B262" s="26">
        <f>VLOOKUP(A262,Hoja1!A:A,1,FALSE)</f>
        <v>11249</v>
      </c>
      <c r="C262" s="27" t="s">
        <v>1003</v>
      </c>
      <c r="D262" s="28" t="s">
        <v>948</v>
      </c>
      <c r="E262" s="29" t="s">
        <v>949</v>
      </c>
      <c r="F262" s="29" t="s">
        <v>14</v>
      </c>
      <c r="G262" s="30">
        <v>36445</v>
      </c>
      <c r="H262" s="26" t="s">
        <v>49</v>
      </c>
      <c r="I262" s="26" t="s">
        <v>110</v>
      </c>
      <c r="J262" s="26" t="s">
        <v>110</v>
      </c>
      <c r="K262" s="26">
        <v>115007</v>
      </c>
      <c r="L262" s="31" t="s">
        <v>1004</v>
      </c>
      <c r="M262" s="26">
        <v>5380</v>
      </c>
      <c r="N262" s="31" t="s">
        <v>1000</v>
      </c>
      <c r="O262" s="26">
        <v>3315991394</v>
      </c>
      <c r="P262" s="29" t="s">
        <v>2190</v>
      </c>
      <c r="Q262" s="31" t="s">
        <v>15</v>
      </c>
      <c r="R262" s="26">
        <v>5513972258</v>
      </c>
      <c r="S262" s="31" t="s">
        <v>2216</v>
      </c>
      <c r="T262" s="26" t="s">
        <v>2254</v>
      </c>
      <c r="U262" s="31" t="s">
        <v>2253</v>
      </c>
      <c r="V262" s="31" t="s">
        <v>1005</v>
      </c>
      <c r="W262" s="31" t="s">
        <v>1006</v>
      </c>
      <c r="X262" s="31" t="s">
        <v>99</v>
      </c>
      <c r="Y262" s="31">
        <v>28867</v>
      </c>
      <c r="Z262" s="31" t="s">
        <v>1007</v>
      </c>
      <c r="AA262" s="31" t="s">
        <v>998</v>
      </c>
      <c r="AB262" s="31" t="s">
        <v>1008</v>
      </c>
      <c r="AC262" s="31">
        <v>3143366197</v>
      </c>
      <c r="AD262" s="31">
        <v>3143366933</v>
      </c>
    </row>
    <row r="263" spans="1:30" x14ac:dyDescent="0.2">
      <c r="A263" s="26">
        <v>11297</v>
      </c>
      <c r="B263" s="26">
        <f>VLOOKUP(A263,Hoja1!A:A,1,FALSE)</f>
        <v>11297</v>
      </c>
      <c r="C263" s="27" t="s">
        <v>1009</v>
      </c>
      <c r="D263" s="28" t="s">
        <v>948</v>
      </c>
      <c r="E263" s="29" t="s">
        <v>949</v>
      </c>
      <c r="F263" s="29" t="s">
        <v>14</v>
      </c>
      <c r="G263" s="30">
        <v>36692</v>
      </c>
      <c r="H263" s="26" t="s">
        <v>49</v>
      </c>
      <c r="I263" s="26" t="s">
        <v>110</v>
      </c>
      <c r="J263" s="26" t="s">
        <v>110</v>
      </c>
      <c r="K263" s="26">
        <v>32958</v>
      </c>
      <c r="L263" s="31" t="s">
        <v>1010</v>
      </c>
      <c r="M263" s="26">
        <v>5380</v>
      </c>
      <c r="N263" s="31" t="s">
        <v>1000</v>
      </c>
      <c r="O263" s="26">
        <v>3315991394</v>
      </c>
      <c r="P263" s="29" t="s">
        <v>2190</v>
      </c>
      <c r="Q263" s="31" t="s">
        <v>15</v>
      </c>
      <c r="R263" s="26">
        <v>5513972258</v>
      </c>
      <c r="S263" s="31" t="s">
        <v>2216</v>
      </c>
      <c r="T263" s="26" t="s">
        <v>2254</v>
      </c>
      <c r="U263" s="31" t="s">
        <v>2253</v>
      </c>
      <c r="V263" s="31" t="s">
        <v>1011</v>
      </c>
      <c r="W263" s="31" t="s">
        <v>1012</v>
      </c>
      <c r="X263" s="31" t="s">
        <v>99</v>
      </c>
      <c r="Y263" s="31">
        <v>45920</v>
      </c>
      <c r="Z263" s="31" t="s">
        <v>1012</v>
      </c>
      <c r="AA263" s="31" t="s">
        <v>955</v>
      </c>
      <c r="AB263" s="31" t="s">
        <v>1013</v>
      </c>
      <c r="AC263" s="31">
        <v>3767662226</v>
      </c>
      <c r="AD263" s="31">
        <v>3767663690</v>
      </c>
    </row>
    <row r="264" spans="1:30" x14ac:dyDescent="0.2">
      <c r="A264" s="26">
        <v>11329</v>
      </c>
      <c r="B264" s="26">
        <f>VLOOKUP(A264,Hoja1!A:A,1,FALSE)</f>
        <v>11329</v>
      </c>
      <c r="C264" s="27" t="s">
        <v>1014</v>
      </c>
      <c r="D264" s="28" t="s">
        <v>948</v>
      </c>
      <c r="E264" s="29" t="s">
        <v>949</v>
      </c>
      <c r="F264" s="29" t="s">
        <v>14</v>
      </c>
      <c r="G264" s="30">
        <v>36912</v>
      </c>
      <c r="H264" s="26" t="s">
        <v>49</v>
      </c>
      <c r="I264" s="26" t="s">
        <v>110</v>
      </c>
      <c r="J264" s="26" t="s">
        <v>110</v>
      </c>
      <c r="K264" s="26">
        <v>34469</v>
      </c>
      <c r="L264" s="31" t="s">
        <v>1295</v>
      </c>
      <c r="M264" s="26">
        <v>5380</v>
      </c>
      <c r="N264" s="31" t="s">
        <v>1000</v>
      </c>
      <c r="O264" s="26">
        <v>3315991394</v>
      </c>
      <c r="P264" s="29" t="s">
        <v>2190</v>
      </c>
      <c r="Q264" s="31" t="s">
        <v>15</v>
      </c>
      <c r="R264" s="26">
        <v>5513972258</v>
      </c>
      <c r="S264" s="31" t="s">
        <v>2216</v>
      </c>
      <c r="T264" s="26" t="s">
        <v>2254</v>
      </c>
      <c r="U264" s="31" t="s">
        <v>2253</v>
      </c>
      <c r="V264" s="31" t="s">
        <v>1015</v>
      </c>
      <c r="W264" s="31" t="s">
        <v>1016</v>
      </c>
      <c r="X264" s="31" t="s">
        <v>99</v>
      </c>
      <c r="Y264" s="31">
        <v>44110</v>
      </c>
      <c r="Z264" s="31" t="s">
        <v>1017</v>
      </c>
      <c r="AA264" s="31" t="s">
        <v>955</v>
      </c>
      <c r="AB264" s="31" t="s">
        <v>1018</v>
      </c>
      <c r="AC264" s="31">
        <v>3336122038</v>
      </c>
      <c r="AD264" s="31">
        <v>3336122812</v>
      </c>
    </row>
    <row r="265" spans="1:30" x14ac:dyDescent="0.2">
      <c r="A265" s="26">
        <v>11396</v>
      </c>
      <c r="B265" s="26">
        <f>VLOOKUP(A265,Hoja1!A:A,1,FALSE)</f>
        <v>11396</v>
      </c>
      <c r="C265" s="27" t="s">
        <v>1019</v>
      </c>
      <c r="D265" s="28" t="s">
        <v>948</v>
      </c>
      <c r="E265" s="29" t="s">
        <v>949</v>
      </c>
      <c r="F265" s="29" t="s">
        <v>14</v>
      </c>
      <c r="G265" s="30">
        <v>37473</v>
      </c>
      <c r="H265" s="26" t="s">
        <v>49</v>
      </c>
      <c r="I265" s="26" t="s">
        <v>110</v>
      </c>
      <c r="J265" s="26" t="s">
        <v>110</v>
      </c>
      <c r="K265" s="26">
        <v>48672</v>
      </c>
      <c r="L265" s="31" t="s">
        <v>2109</v>
      </c>
      <c r="M265" s="26">
        <v>5380</v>
      </c>
      <c r="N265" s="31" t="s">
        <v>1000</v>
      </c>
      <c r="O265" s="26">
        <v>3315991394</v>
      </c>
      <c r="P265" s="29" t="s">
        <v>2190</v>
      </c>
      <c r="Q265" s="31" t="s">
        <v>15</v>
      </c>
      <c r="R265" s="26">
        <v>5513972258</v>
      </c>
      <c r="S265" s="31" t="s">
        <v>2216</v>
      </c>
      <c r="T265" s="26" t="s">
        <v>2254</v>
      </c>
      <c r="U265" s="31" t="s">
        <v>2253</v>
      </c>
      <c r="V265" s="31" t="s">
        <v>1020</v>
      </c>
      <c r="W265" s="31" t="s">
        <v>89</v>
      </c>
      <c r="X265" s="31" t="s">
        <v>99</v>
      </c>
      <c r="Y265" s="31">
        <v>49000</v>
      </c>
      <c r="Z265" s="31" t="s">
        <v>1021</v>
      </c>
      <c r="AA265" s="31" t="s">
        <v>955</v>
      </c>
      <c r="AB265" s="31" t="s">
        <v>1022</v>
      </c>
      <c r="AC265" s="31">
        <v>3414128561</v>
      </c>
      <c r="AD265" s="31">
        <v>3414128555</v>
      </c>
    </row>
    <row r="266" spans="1:30" x14ac:dyDescent="0.2">
      <c r="A266" s="26">
        <v>11537</v>
      </c>
      <c r="B266" s="26">
        <f>VLOOKUP(A266,Hoja1!A:A,1,FALSE)</f>
        <v>11537</v>
      </c>
      <c r="C266" s="27" t="s">
        <v>1017</v>
      </c>
      <c r="D266" s="28" t="s">
        <v>948</v>
      </c>
      <c r="E266" s="29" t="s">
        <v>949</v>
      </c>
      <c r="F266" s="29" t="s">
        <v>14</v>
      </c>
      <c r="G266" s="30">
        <v>39911</v>
      </c>
      <c r="H266" s="26" t="s">
        <v>49</v>
      </c>
      <c r="I266" s="26" t="s">
        <v>110</v>
      </c>
      <c r="J266" s="26" t="s">
        <v>110</v>
      </c>
      <c r="K266" s="26">
        <v>34554</v>
      </c>
      <c r="L266" s="31" t="s">
        <v>2129</v>
      </c>
      <c r="M266" s="26">
        <v>5380</v>
      </c>
      <c r="N266" s="31" t="s">
        <v>1000</v>
      </c>
      <c r="O266" s="26">
        <v>3315991394</v>
      </c>
      <c r="P266" s="29" t="s">
        <v>2190</v>
      </c>
      <c r="Q266" s="31" t="s">
        <v>15</v>
      </c>
      <c r="R266" s="26">
        <v>5513972258</v>
      </c>
      <c r="S266" s="31" t="s">
        <v>2216</v>
      </c>
      <c r="T266" s="26" t="s">
        <v>2254</v>
      </c>
      <c r="U266" s="31" t="s">
        <v>2253</v>
      </c>
      <c r="V266" s="31" t="s">
        <v>1023</v>
      </c>
      <c r="W266" s="31" t="s">
        <v>1024</v>
      </c>
      <c r="X266" s="31" t="s">
        <v>99</v>
      </c>
      <c r="Y266" s="31">
        <v>45653</v>
      </c>
      <c r="Z266" s="31" t="s">
        <v>1017</v>
      </c>
      <c r="AA266" s="31" t="s">
        <v>955</v>
      </c>
      <c r="AB266" s="31" t="s">
        <v>1025</v>
      </c>
      <c r="AC266" s="31">
        <v>3310991542</v>
      </c>
      <c r="AD266" s="31">
        <v>3310990485</v>
      </c>
    </row>
    <row r="267" spans="1:30" x14ac:dyDescent="0.2">
      <c r="A267" s="26">
        <v>11605</v>
      </c>
      <c r="B267" s="26">
        <f>VLOOKUP(A267,Hoja1!A:A,1,FALSE)</f>
        <v>11605</v>
      </c>
      <c r="C267" s="27" t="s">
        <v>1026</v>
      </c>
      <c r="D267" s="28" t="s">
        <v>948</v>
      </c>
      <c r="E267" s="29" t="s">
        <v>949</v>
      </c>
      <c r="F267" s="29" t="s">
        <v>14</v>
      </c>
      <c r="G267" s="30">
        <v>42730</v>
      </c>
      <c r="H267" s="26" t="s">
        <v>49</v>
      </c>
      <c r="I267" s="26" t="s">
        <v>110</v>
      </c>
      <c r="J267" s="26" t="s">
        <v>110</v>
      </c>
      <c r="K267" s="26">
        <v>73767</v>
      </c>
      <c r="L267" s="31" t="s">
        <v>1027</v>
      </c>
      <c r="M267" s="26">
        <v>5380</v>
      </c>
      <c r="N267" s="31" t="s">
        <v>1000</v>
      </c>
      <c r="O267" s="26">
        <v>3315991394</v>
      </c>
      <c r="P267" s="29" t="s">
        <v>2190</v>
      </c>
      <c r="Q267" s="31" t="s">
        <v>15</v>
      </c>
      <c r="R267" s="26">
        <v>5513972258</v>
      </c>
      <c r="S267" s="31" t="s">
        <v>2216</v>
      </c>
      <c r="T267" s="26" t="s">
        <v>2254</v>
      </c>
      <c r="U267" s="31" t="s">
        <v>2253</v>
      </c>
      <c r="V267" s="31" t="s">
        <v>1028</v>
      </c>
      <c r="W267" s="31" t="s">
        <v>1029</v>
      </c>
      <c r="X267" s="31" t="s">
        <v>99</v>
      </c>
      <c r="Y267" s="31">
        <v>45645</v>
      </c>
      <c r="Z267" s="31" t="s">
        <v>1017</v>
      </c>
      <c r="AA267" s="31" t="s">
        <v>955</v>
      </c>
      <c r="AB267" s="31" t="s">
        <v>1030</v>
      </c>
      <c r="AC267" s="31">
        <v>3332716964</v>
      </c>
      <c r="AD267" s="31">
        <v>3332716762</v>
      </c>
    </row>
    <row r="268" spans="1:30" x14ac:dyDescent="0.2">
      <c r="A268" s="26">
        <v>12331</v>
      </c>
      <c r="B268" s="26">
        <f>VLOOKUP(A268,Hoja1!A:A,1,FALSE)</f>
        <v>12331</v>
      </c>
      <c r="C268" s="27" t="s">
        <v>1031</v>
      </c>
      <c r="D268" s="28" t="s">
        <v>948</v>
      </c>
      <c r="E268" s="29" t="s">
        <v>949</v>
      </c>
      <c r="F268" s="29" t="s">
        <v>14</v>
      </c>
      <c r="G268" s="30">
        <v>43434</v>
      </c>
      <c r="H268" s="26" t="s">
        <v>49</v>
      </c>
      <c r="I268" s="26" t="s">
        <v>110</v>
      </c>
      <c r="J268" s="26" t="s">
        <v>110</v>
      </c>
      <c r="K268" s="26">
        <v>34024</v>
      </c>
      <c r="L268" s="31" t="s">
        <v>1032</v>
      </c>
      <c r="M268" s="26">
        <v>5380</v>
      </c>
      <c r="N268" s="31" t="s">
        <v>1000</v>
      </c>
      <c r="O268" s="26">
        <v>3315991394</v>
      </c>
      <c r="P268" s="29" t="s">
        <v>2190</v>
      </c>
      <c r="Q268" s="31" t="s">
        <v>15</v>
      </c>
      <c r="R268" s="26">
        <v>5513972258</v>
      </c>
      <c r="S268" s="31" t="s">
        <v>2216</v>
      </c>
      <c r="T268" s="26" t="s">
        <v>2254</v>
      </c>
      <c r="U268" s="31" t="s">
        <v>2253</v>
      </c>
      <c r="V268" s="31" t="s">
        <v>1033</v>
      </c>
      <c r="W268" s="31" t="s">
        <v>128</v>
      </c>
      <c r="X268" s="31" t="s">
        <v>99</v>
      </c>
      <c r="Y268" s="31">
        <v>28974</v>
      </c>
      <c r="Z268" s="31" t="s">
        <v>998</v>
      </c>
      <c r="AA268" s="31" t="s">
        <v>998</v>
      </c>
      <c r="AB268" s="31" t="s">
        <v>1034</v>
      </c>
      <c r="AC268" s="31">
        <v>3124540030</v>
      </c>
      <c r="AD268" s="31">
        <v>3124540030</v>
      </c>
    </row>
    <row r="269" spans="1:30" x14ac:dyDescent="0.2">
      <c r="A269" s="26">
        <v>12332</v>
      </c>
      <c r="B269" s="26">
        <f>VLOOKUP(A269,Hoja1!A:A,1,FALSE)</f>
        <v>12332</v>
      </c>
      <c r="C269" s="27" t="s">
        <v>1035</v>
      </c>
      <c r="D269" s="28" t="s">
        <v>948</v>
      </c>
      <c r="E269" s="29" t="s">
        <v>949</v>
      </c>
      <c r="F269" s="29" t="s">
        <v>14</v>
      </c>
      <c r="G269" s="30">
        <v>43433</v>
      </c>
      <c r="H269" s="26" t="s">
        <v>49</v>
      </c>
      <c r="I269" s="26" t="s">
        <v>110</v>
      </c>
      <c r="J269" s="26" t="s">
        <v>110</v>
      </c>
      <c r="K269" s="26">
        <v>33753</v>
      </c>
      <c r="L269" s="31" t="s">
        <v>1036</v>
      </c>
      <c r="M269" s="26">
        <v>5380</v>
      </c>
      <c r="N269" s="31" t="s">
        <v>1000</v>
      </c>
      <c r="O269" s="26">
        <v>3315991394</v>
      </c>
      <c r="P269" s="29" t="s">
        <v>2190</v>
      </c>
      <c r="Q269" s="31" t="s">
        <v>15</v>
      </c>
      <c r="R269" s="26">
        <v>5513972258</v>
      </c>
      <c r="S269" s="31" t="s">
        <v>2216</v>
      </c>
      <c r="T269" s="26" t="s">
        <v>2254</v>
      </c>
      <c r="U269" s="31" t="s">
        <v>2253</v>
      </c>
      <c r="V269" s="31" t="s">
        <v>1037</v>
      </c>
      <c r="W269" s="31" t="s">
        <v>1038</v>
      </c>
      <c r="X269" s="31" t="s">
        <v>99</v>
      </c>
      <c r="Y269" s="31">
        <v>45606</v>
      </c>
      <c r="Z269" s="31" t="s">
        <v>1039</v>
      </c>
      <c r="AA269" s="31" t="s">
        <v>955</v>
      </c>
      <c r="AB269" s="31" t="s">
        <v>1040</v>
      </c>
      <c r="AC269" s="31">
        <v>3315790280</v>
      </c>
      <c r="AD269" s="31">
        <v>3315790280</v>
      </c>
    </row>
    <row r="270" spans="1:30" x14ac:dyDescent="0.2">
      <c r="A270" s="26">
        <v>12337</v>
      </c>
      <c r="B270" s="26">
        <f>VLOOKUP(A270,Hoja1!A:A,1,FALSE)</f>
        <v>12337</v>
      </c>
      <c r="C270" s="27" t="s">
        <v>1041</v>
      </c>
      <c r="D270" s="28" t="s">
        <v>948</v>
      </c>
      <c r="E270" s="29" t="s">
        <v>949</v>
      </c>
      <c r="F270" s="29" t="s">
        <v>14</v>
      </c>
      <c r="G270" s="30">
        <v>43433</v>
      </c>
      <c r="H270" s="26" t="s">
        <v>49</v>
      </c>
      <c r="I270" s="26" t="s">
        <v>110</v>
      </c>
      <c r="J270" s="26" t="s">
        <v>110</v>
      </c>
      <c r="K270" s="26">
        <v>34164</v>
      </c>
      <c r="L270" s="31" t="s">
        <v>2110</v>
      </c>
      <c r="M270" s="26">
        <v>5380</v>
      </c>
      <c r="N270" s="31" t="s">
        <v>1000</v>
      </c>
      <c r="O270" s="26">
        <v>3315991394</v>
      </c>
      <c r="P270" s="29" t="s">
        <v>2190</v>
      </c>
      <c r="Q270" s="31" t="s">
        <v>15</v>
      </c>
      <c r="R270" s="26">
        <v>5513972258</v>
      </c>
      <c r="S270" s="31" t="s">
        <v>2216</v>
      </c>
      <c r="T270" s="26" t="s">
        <v>2254</v>
      </c>
      <c r="U270" s="31" t="s">
        <v>2253</v>
      </c>
      <c r="V270" s="31" t="s">
        <v>1042</v>
      </c>
      <c r="W270" s="31" t="s">
        <v>1043</v>
      </c>
      <c r="X270" s="31" t="s">
        <v>99</v>
      </c>
      <c r="Y270" s="31">
        <v>45238</v>
      </c>
      <c r="Z270" s="31" t="s">
        <v>1044</v>
      </c>
      <c r="AA270" s="31" t="s">
        <v>955</v>
      </c>
      <c r="AB270" s="31" t="s">
        <v>1045</v>
      </c>
      <c r="AC270" s="31">
        <v>3315790285</v>
      </c>
      <c r="AD270" s="31">
        <v>3315790285</v>
      </c>
    </row>
    <row r="271" spans="1:30" x14ac:dyDescent="0.2">
      <c r="A271" s="26">
        <v>11031</v>
      </c>
      <c r="B271" s="26">
        <f>VLOOKUP(A271,Hoja1!A:A,1,FALSE)</f>
        <v>11031</v>
      </c>
      <c r="C271" s="27" t="s">
        <v>1059</v>
      </c>
      <c r="D271" s="28" t="s">
        <v>948</v>
      </c>
      <c r="E271" s="29" t="s">
        <v>949</v>
      </c>
      <c r="F271" s="29" t="s">
        <v>14</v>
      </c>
      <c r="G271" s="30">
        <v>33467</v>
      </c>
      <c r="H271" s="26" t="s">
        <v>49</v>
      </c>
      <c r="I271" s="26" t="s">
        <v>110</v>
      </c>
      <c r="J271" s="26" t="s">
        <v>110</v>
      </c>
      <c r="K271" s="26">
        <v>117733</v>
      </c>
      <c r="L271" s="31" t="s">
        <v>1096</v>
      </c>
      <c r="M271" s="26">
        <v>4238</v>
      </c>
      <c r="N271" s="31" t="s">
        <v>1061</v>
      </c>
      <c r="O271" s="26">
        <v>2292422625</v>
      </c>
      <c r="P271" s="29" t="s">
        <v>2191</v>
      </c>
      <c r="Q271" s="31" t="s">
        <v>15</v>
      </c>
      <c r="R271" s="26">
        <v>5513972258</v>
      </c>
      <c r="S271" s="31" t="s">
        <v>2216</v>
      </c>
      <c r="T271" s="26" t="s">
        <v>2254</v>
      </c>
      <c r="U271" s="31" t="s">
        <v>2253</v>
      </c>
      <c r="V271" s="31" t="s">
        <v>1062</v>
      </c>
      <c r="W271" s="31" t="s">
        <v>1063</v>
      </c>
      <c r="X271" s="31" t="s">
        <v>99</v>
      </c>
      <c r="Y271" s="31">
        <v>58260</v>
      </c>
      <c r="Z271" s="31" t="s">
        <v>1064</v>
      </c>
      <c r="AA271" s="31" t="s">
        <v>734</v>
      </c>
      <c r="AB271" s="31" t="s">
        <v>1065</v>
      </c>
      <c r="AC271" s="31">
        <v>4433240889</v>
      </c>
      <c r="AD271" s="31">
        <v>4433159413</v>
      </c>
    </row>
    <row r="272" spans="1:30" x14ac:dyDescent="0.2">
      <c r="A272" s="26">
        <v>11054</v>
      </c>
      <c r="B272" s="26">
        <f>VLOOKUP(A272,Hoja1!A:A,1,FALSE)</f>
        <v>11054</v>
      </c>
      <c r="C272" s="27" t="s">
        <v>1066</v>
      </c>
      <c r="D272" s="28" t="s">
        <v>948</v>
      </c>
      <c r="E272" s="29" t="s">
        <v>949</v>
      </c>
      <c r="F272" s="29" t="s">
        <v>14</v>
      </c>
      <c r="G272" s="30">
        <v>33656</v>
      </c>
      <c r="H272" s="26" t="s">
        <v>49</v>
      </c>
      <c r="I272" s="26" t="s">
        <v>110</v>
      </c>
      <c r="J272" s="26" t="s">
        <v>110</v>
      </c>
      <c r="K272" s="26">
        <v>117653</v>
      </c>
      <c r="L272" s="31" t="s">
        <v>1067</v>
      </c>
      <c r="M272" s="26">
        <v>4238</v>
      </c>
      <c r="N272" s="31" t="s">
        <v>1061</v>
      </c>
      <c r="O272" s="26">
        <v>2292422625</v>
      </c>
      <c r="P272" s="29" t="s">
        <v>2191</v>
      </c>
      <c r="Q272" s="31" t="s">
        <v>15</v>
      </c>
      <c r="R272" s="26">
        <v>5513972258</v>
      </c>
      <c r="S272" s="31" t="s">
        <v>2216</v>
      </c>
      <c r="T272" s="26" t="s">
        <v>2254</v>
      </c>
      <c r="U272" s="31" t="s">
        <v>2253</v>
      </c>
      <c r="V272" s="31" t="s">
        <v>1068</v>
      </c>
      <c r="W272" s="31" t="s">
        <v>1069</v>
      </c>
      <c r="X272" s="31" t="s">
        <v>99</v>
      </c>
      <c r="Y272" s="31">
        <v>58070</v>
      </c>
      <c r="Z272" s="31" t="s">
        <v>1064</v>
      </c>
      <c r="AA272" s="31" t="s">
        <v>734</v>
      </c>
      <c r="AB272" s="31" t="s">
        <v>1070</v>
      </c>
      <c r="AC272" s="31">
        <v>4433245106</v>
      </c>
      <c r="AD272" s="31">
        <v>4433148984</v>
      </c>
    </row>
    <row r="273" spans="1:30" x14ac:dyDescent="0.2">
      <c r="A273" s="26">
        <v>11091</v>
      </c>
      <c r="B273" s="26">
        <f>VLOOKUP(A273,Hoja1!A:A,1,FALSE)</f>
        <v>11091</v>
      </c>
      <c r="C273" s="27" t="s">
        <v>1071</v>
      </c>
      <c r="D273" s="28" t="s">
        <v>948</v>
      </c>
      <c r="E273" s="29" t="s">
        <v>949</v>
      </c>
      <c r="F273" s="29" t="s">
        <v>14</v>
      </c>
      <c r="G273" s="30">
        <v>34043</v>
      </c>
      <c r="H273" s="26" t="s">
        <v>49</v>
      </c>
      <c r="I273" s="26" t="s">
        <v>110</v>
      </c>
      <c r="J273" s="26" t="s">
        <v>110</v>
      </c>
      <c r="K273" s="26">
        <v>51291</v>
      </c>
      <c r="L273" s="31" t="s">
        <v>2111</v>
      </c>
      <c r="M273" s="26">
        <v>4238</v>
      </c>
      <c r="N273" s="31" t="s">
        <v>1061</v>
      </c>
      <c r="O273" s="26">
        <v>2292422625</v>
      </c>
      <c r="P273" s="29" t="s">
        <v>2191</v>
      </c>
      <c r="Q273" s="31" t="s">
        <v>15</v>
      </c>
      <c r="R273" s="26">
        <v>5513972258</v>
      </c>
      <c r="S273" s="31" t="s">
        <v>2216</v>
      </c>
      <c r="T273" s="26" t="s">
        <v>2254</v>
      </c>
      <c r="U273" s="31" t="s">
        <v>2253</v>
      </c>
      <c r="V273" s="31" t="s">
        <v>1072</v>
      </c>
      <c r="W273" s="31" t="s">
        <v>1073</v>
      </c>
      <c r="X273" s="31" t="s">
        <v>99</v>
      </c>
      <c r="Y273" s="31">
        <v>58190</v>
      </c>
      <c r="Z273" s="31" t="s">
        <v>1064</v>
      </c>
      <c r="AA273" s="31" t="s">
        <v>734</v>
      </c>
      <c r="AB273" s="31" t="s">
        <v>1074</v>
      </c>
      <c r="AC273" s="31">
        <v>4433266546</v>
      </c>
      <c r="AD273" s="31">
        <v>4433273242</v>
      </c>
    </row>
    <row r="274" spans="1:30" x14ac:dyDescent="0.2">
      <c r="A274" s="26">
        <v>11275</v>
      </c>
      <c r="B274" s="26">
        <f>VLOOKUP(A274,Hoja1!A:A,1,FALSE)</f>
        <v>11275</v>
      </c>
      <c r="C274" s="27" t="s">
        <v>1075</v>
      </c>
      <c r="D274" s="28" t="s">
        <v>948</v>
      </c>
      <c r="E274" s="29" t="s">
        <v>949</v>
      </c>
      <c r="F274" s="29" t="s">
        <v>14</v>
      </c>
      <c r="G274" s="30">
        <v>36547</v>
      </c>
      <c r="H274" s="26" t="s">
        <v>49</v>
      </c>
      <c r="I274" s="26" t="s">
        <v>110</v>
      </c>
      <c r="J274" s="26" t="s">
        <v>110</v>
      </c>
      <c r="K274" s="26">
        <v>122916</v>
      </c>
      <c r="L274" s="31" t="s">
        <v>1076</v>
      </c>
      <c r="M274" s="26">
        <v>4238</v>
      </c>
      <c r="N274" s="31" t="s">
        <v>1061</v>
      </c>
      <c r="O274" s="26">
        <v>2292422625</v>
      </c>
      <c r="P274" s="29" t="s">
        <v>2191</v>
      </c>
      <c r="Q274" s="31" t="s">
        <v>15</v>
      </c>
      <c r="R274" s="26">
        <v>5513972258</v>
      </c>
      <c r="S274" s="31" t="s">
        <v>2216</v>
      </c>
      <c r="T274" s="26" t="s">
        <v>2254</v>
      </c>
      <c r="U274" s="31" t="s">
        <v>2253</v>
      </c>
      <c r="V274" s="31" t="s">
        <v>1077</v>
      </c>
      <c r="W274" s="31" t="s">
        <v>1078</v>
      </c>
      <c r="X274" s="31" t="s">
        <v>99</v>
      </c>
      <c r="Y274" s="31">
        <v>38800</v>
      </c>
      <c r="Z274" s="31" t="s">
        <v>1075</v>
      </c>
      <c r="AA274" s="31" t="s">
        <v>1048</v>
      </c>
      <c r="AB274" s="31" t="s">
        <v>1079</v>
      </c>
      <c r="AC274" s="31">
        <v>4454584822</v>
      </c>
      <c r="AD274" s="31">
        <v>4454584818</v>
      </c>
    </row>
    <row r="275" spans="1:30" x14ac:dyDescent="0.2">
      <c r="A275" s="26">
        <v>11293</v>
      </c>
      <c r="B275" s="26">
        <f>VLOOKUP(A275,Hoja1!A:A,1,FALSE)</f>
        <v>11293</v>
      </c>
      <c r="C275" s="27" t="s">
        <v>1080</v>
      </c>
      <c r="D275" s="28" t="s">
        <v>948</v>
      </c>
      <c r="E275" s="29" t="s">
        <v>949</v>
      </c>
      <c r="F275" s="29" t="s">
        <v>14</v>
      </c>
      <c r="G275" s="30">
        <v>36524</v>
      </c>
      <c r="H275" s="26" t="s">
        <v>49</v>
      </c>
      <c r="I275" s="26" t="s">
        <v>110</v>
      </c>
      <c r="J275" s="26" t="s">
        <v>110</v>
      </c>
      <c r="K275" s="26">
        <v>32869</v>
      </c>
      <c r="L275" s="31" t="s">
        <v>1081</v>
      </c>
      <c r="M275" s="26">
        <v>4238</v>
      </c>
      <c r="N275" s="31" t="s">
        <v>1061</v>
      </c>
      <c r="O275" s="26">
        <v>2292422625</v>
      </c>
      <c r="P275" s="29" t="s">
        <v>2191</v>
      </c>
      <c r="Q275" s="31" t="s">
        <v>15</v>
      </c>
      <c r="R275" s="26">
        <v>5513972258</v>
      </c>
      <c r="S275" s="31" t="s">
        <v>2216</v>
      </c>
      <c r="T275" s="26" t="s">
        <v>2254</v>
      </c>
      <c r="U275" s="31" t="s">
        <v>2253</v>
      </c>
      <c r="V275" s="31" t="s">
        <v>1082</v>
      </c>
      <c r="W275" s="31" t="s">
        <v>1083</v>
      </c>
      <c r="X275" s="31" t="s">
        <v>99</v>
      </c>
      <c r="Y275" s="31">
        <v>59680</v>
      </c>
      <c r="Z275" s="31" t="s">
        <v>1080</v>
      </c>
      <c r="AA275" s="31" t="s">
        <v>734</v>
      </c>
      <c r="AB275" s="31" t="s">
        <v>1084</v>
      </c>
      <c r="AC275" s="31">
        <v>3515155131</v>
      </c>
      <c r="AD275" s="31">
        <v>3515155125</v>
      </c>
    </row>
    <row r="276" spans="1:30" x14ac:dyDescent="0.2">
      <c r="A276" s="26">
        <v>11294</v>
      </c>
      <c r="B276" s="26">
        <f>VLOOKUP(A276,Hoja1!A:A,1,FALSE)</f>
        <v>11294</v>
      </c>
      <c r="C276" s="27" t="s">
        <v>1085</v>
      </c>
      <c r="D276" s="28" t="s">
        <v>948</v>
      </c>
      <c r="E276" s="29" t="s">
        <v>949</v>
      </c>
      <c r="F276" s="29" t="s">
        <v>14</v>
      </c>
      <c r="G276" s="30">
        <v>36521</v>
      </c>
      <c r="H276" s="26" t="s">
        <v>49</v>
      </c>
      <c r="I276" s="26" t="s">
        <v>110</v>
      </c>
      <c r="J276" s="26" t="s">
        <v>110</v>
      </c>
      <c r="K276" s="26">
        <v>1643</v>
      </c>
      <c r="L276" s="31" t="s">
        <v>1086</v>
      </c>
      <c r="M276" s="26">
        <v>4238</v>
      </c>
      <c r="N276" s="31" t="s">
        <v>1061</v>
      </c>
      <c r="O276" s="26">
        <v>2292422625</v>
      </c>
      <c r="P276" s="29" t="s">
        <v>2191</v>
      </c>
      <c r="Q276" s="31" t="s">
        <v>15</v>
      </c>
      <c r="R276" s="26">
        <v>5513972258</v>
      </c>
      <c r="S276" s="31" t="s">
        <v>2216</v>
      </c>
      <c r="T276" s="26" t="s">
        <v>2254</v>
      </c>
      <c r="U276" s="31" t="s">
        <v>2253</v>
      </c>
      <c r="V276" s="31" t="s">
        <v>1087</v>
      </c>
      <c r="W276" s="31" t="s">
        <v>1088</v>
      </c>
      <c r="X276" s="31" t="s">
        <v>99</v>
      </c>
      <c r="Y276" s="31">
        <v>60080</v>
      </c>
      <c r="Z276" s="31" t="s">
        <v>1085</v>
      </c>
      <c r="AA276" s="31" t="s">
        <v>734</v>
      </c>
      <c r="AB276" s="31" t="s">
        <v>1089</v>
      </c>
      <c r="AC276" s="31">
        <v>4525285261</v>
      </c>
      <c r="AD276" s="31">
        <v>4525285258</v>
      </c>
    </row>
    <row r="277" spans="1:30" x14ac:dyDescent="0.2">
      <c r="A277" s="26">
        <v>11305</v>
      </c>
      <c r="B277" s="26">
        <f>VLOOKUP(A277,Hoja1!A:A,1,FALSE)</f>
        <v>11305</v>
      </c>
      <c r="C277" s="27" t="s">
        <v>1090</v>
      </c>
      <c r="D277" s="28" t="s">
        <v>948</v>
      </c>
      <c r="E277" s="29" t="s">
        <v>949</v>
      </c>
      <c r="F277" s="29" t="s">
        <v>14</v>
      </c>
      <c r="G277" s="30">
        <v>36631</v>
      </c>
      <c r="H277" s="26" t="s">
        <v>49</v>
      </c>
      <c r="I277" s="26" t="s">
        <v>110</v>
      </c>
      <c r="J277" s="26" t="s">
        <v>110</v>
      </c>
      <c r="K277" s="26">
        <v>108307</v>
      </c>
      <c r="L277" s="31" t="s">
        <v>1091</v>
      </c>
      <c r="M277" s="26">
        <v>4238</v>
      </c>
      <c r="N277" s="31" t="s">
        <v>1061</v>
      </c>
      <c r="O277" s="26">
        <v>2292422625</v>
      </c>
      <c r="P277" s="29" t="s">
        <v>2191</v>
      </c>
      <c r="Q277" s="31" t="s">
        <v>15</v>
      </c>
      <c r="R277" s="26">
        <v>5513972258</v>
      </c>
      <c r="S277" s="31" t="s">
        <v>2216</v>
      </c>
      <c r="T277" s="26" t="s">
        <v>2254</v>
      </c>
      <c r="U277" s="31" t="s">
        <v>2253</v>
      </c>
      <c r="V277" s="31" t="s">
        <v>1092</v>
      </c>
      <c r="W277" s="31" t="s">
        <v>1093</v>
      </c>
      <c r="X277" s="31" t="s">
        <v>99</v>
      </c>
      <c r="Y277" s="31">
        <v>58130</v>
      </c>
      <c r="Z277" s="31" t="s">
        <v>1064</v>
      </c>
      <c r="AA277" s="31" t="s">
        <v>734</v>
      </c>
      <c r="AB277" s="31" t="s">
        <v>1094</v>
      </c>
      <c r="AC277" s="31">
        <v>4433176106</v>
      </c>
      <c r="AD277" s="31">
        <v>4433176100</v>
      </c>
    </row>
    <row r="278" spans="1:30" x14ac:dyDescent="0.2">
      <c r="A278" s="26">
        <v>11315</v>
      </c>
      <c r="B278" s="26">
        <f>VLOOKUP(A278,Hoja1!A:A,1,FALSE)</f>
        <v>11315</v>
      </c>
      <c r="C278" s="27" t="s">
        <v>1095</v>
      </c>
      <c r="D278" s="28" t="s">
        <v>948</v>
      </c>
      <c r="E278" s="29" t="s">
        <v>949</v>
      </c>
      <c r="F278" s="29" t="s">
        <v>14</v>
      </c>
      <c r="G278" s="30">
        <v>36661</v>
      </c>
      <c r="H278" s="26" t="s">
        <v>49</v>
      </c>
      <c r="I278" s="26" t="s">
        <v>110</v>
      </c>
      <c r="J278" s="26" t="s">
        <v>110</v>
      </c>
      <c r="K278" s="26">
        <v>107759</v>
      </c>
      <c r="L278" s="31" t="s">
        <v>1060</v>
      </c>
      <c r="M278" s="26">
        <v>4238</v>
      </c>
      <c r="N278" s="31" t="s">
        <v>1061</v>
      </c>
      <c r="O278" s="26">
        <v>2292422625</v>
      </c>
      <c r="P278" s="29" t="s">
        <v>2191</v>
      </c>
      <c r="Q278" s="31" t="s">
        <v>15</v>
      </c>
      <c r="R278" s="26">
        <v>5513972258</v>
      </c>
      <c r="S278" s="31" t="s">
        <v>2216</v>
      </c>
      <c r="T278" s="26" t="s">
        <v>2254</v>
      </c>
      <c r="U278" s="31" t="s">
        <v>2253</v>
      </c>
      <c r="V278" s="31" t="s">
        <v>1097</v>
      </c>
      <c r="W278" s="31" t="s">
        <v>1098</v>
      </c>
      <c r="X278" s="31" t="s">
        <v>99</v>
      </c>
      <c r="Y278" s="31">
        <v>58050</v>
      </c>
      <c r="Z278" s="31" t="s">
        <v>1064</v>
      </c>
      <c r="AA278" s="31" t="s">
        <v>734</v>
      </c>
      <c r="AB278" s="31" t="s">
        <v>1099</v>
      </c>
      <c r="AC278" s="31">
        <v>4433202007</v>
      </c>
      <c r="AD278" s="31">
        <v>4433202000</v>
      </c>
    </row>
    <row r="279" spans="1:30" x14ac:dyDescent="0.2">
      <c r="A279" s="26">
        <v>11532</v>
      </c>
      <c r="B279" s="26">
        <f>VLOOKUP(A279,Hoja1!A:A,1,FALSE)</f>
        <v>11532</v>
      </c>
      <c r="C279" s="27" t="s">
        <v>1100</v>
      </c>
      <c r="D279" s="28" t="s">
        <v>948</v>
      </c>
      <c r="E279" s="29" t="s">
        <v>949</v>
      </c>
      <c r="F279" s="29" t="s">
        <v>14</v>
      </c>
      <c r="G279" s="30">
        <v>39738</v>
      </c>
      <c r="H279" s="26" t="s">
        <v>49</v>
      </c>
      <c r="I279" s="26" t="s">
        <v>110</v>
      </c>
      <c r="J279" s="26" t="s">
        <v>110</v>
      </c>
      <c r="K279" s="26">
        <v>33737</v>
      </c>
      <c r="L279" s="31" t="s">
        <v>1101</v>
      </c>
      <c r="M279" s="26">
        <v>4238</v>
      </c>
      <c r="N279" s="31" t="s">
        <v>1061</v>
      </c>
      <c r="O279" s="26">
        <v>2292422625</v>
      </c>
      <c r="P279" s="29" t="s">
        <v>2191</v>
      </c>
      <c r="Q279" s="31" t="s">
        <v>15</v>
      </c>
      <c r="R279" s="26">
        <v>5513972258</v>
      </c>
      <c r="S279" s="31" t="s">
        <v>2216</v>
      </c>
      <c r="T279" s="26" t="s">
        <v>2254</v>
      </c>
      <c r="U279" s="31" t="s">
        <v>2253</v>
      </c>
      <c r="V279" s="31" t="s">
        <v>1102</v>
      </c>
      <c r="W279" s="31" t="s">
        <v>1103</v>
      </c>
      <c r="X279" s="31" t="s">
        <v>99</v>
      </c>
      <c r="Y279" s="31">
        <v>58880</v>
      </c>
      <c r="Z279" s="31" t="s">
        <v>1104</v>
      </c>
      <c r="AA279" s="31" t="s">
        <v>734</v>
      </c>
      <c r="AB279" s="31" t="s">
        <v>1105</v>
      </c>
      <c r="AC279" s="31">
        <v>4432958375</v>
      </c>
      <c r="AD279" s="31">
        <v>4432958500</v>
      </c>
    </row>
    <row r="280" spans="1:30" x14ac:dyDescent="0.2">
      <c r="A280" s="26">
        <v>11602</v>
      </c>
      <c r="B280" s="26">
        <f>VLOOKUP(A280,Hoja1!A:A,1,FALSE)</f>
        <v>11602</v>
      </c>
      <c r="C280" s="27" t="s">
        <v>1106</v>
      </c>
      <c r="D280" s="28" t="s">
        <v>948</v>
      </c>
      <c r="E280" s="29" t="s">
        <v>949</v>
      </c>
      <c r="F280" s="29" t="s">
        <v>14</v>
      </c>
      <c r="G280" s="30">
        <v>42712</v>
      </c>
      <c r="H280" s="26" t="s">
        <v>49</v>
      </c>
      <c r="I280" s="26" t="s">
        <v>110</v>
      </c>
      <c r="J280" s="26" t="s">
        <v>110</v>
      </c>
      <c r="K280" s="26">
        <v>117190</v>
      </c>
      <c r="L280" s="31" t="s">
        <v>1107</v>
      </c>
      <c r="M280" s="26">
        <v>4238</v>
      </c>
      <c r="N280" s="31" t="s">
        <v>1061</v>
      </c>
      <c r="O280" s="26">
        <v>2292422625</v>
      </c>
      <c r="P280" s="29" t="s">
        <v>2191</v>
      </c>
      <c r="Q280" s="31" t="s">
        <v>15</v>
      </c>
      <c r="R280" s="26">
        <v>5513972258</v>
      </c>
      <c r="S280" s="31" t="s">
        <v>2216</v>
      </c>
      <c r="T280" s="26" t="s">
        <v>2254</v>
      </c>
      <c r="U280" s="31" t="s">
        <v>2253</v>
      </c>
      <c r="V280" s="31" t="s">
        <v>1108</v>
      </c>
      <c r="W280" s="31" t="s">
        <v>1109</v>
      </c>
      <c r="X280" s="31" t="s">
        <v>99</v>
      </c>
      <c r="Y280" s="31">
        <v>58115</v>
      </c>
      <c r="Z280" s="31" t="s">
        <v>1064</v>
      </c>
      <c r="AA280" s="31" t="s">
        <v>734</v>
      </c>
      <c r="AB280" s="31" t="s">
        <v>1110</v>
      </c>
      <c r="AC280" s="31">
        <v>4431760204</v>
      </c>
      <c r="AD280" s="31">
        <v>4431760204</v>
      </c>
    </row>
    <row r="281" spans="1:30" x14ac:dyDescent="0.2">
      <c r="A281" s="26">
        <v>11638</v>
      </c>
      <c r="B281" s="26">
        <f>VLOOKUP(A281,Hoja1!A:A,1,FALSE)</f>
        <v>11638</v>
      </c>
      <c r="C281" s="27" t="s">
        <v>1111</v>
      </c>
      <c r="D281" s="28" t="s">
        <v>948</v>
      </c>
      <c r="E281" s="29" t="s">
        <v>949</v>
      </c>
      <c r="F281" s="29" t="s">
        <v>14</v>
      </c>
      <c r="G281" s="30">
        <v>43029</v>
      </c>
      <c r="H281" s="26" t="s">
        <v>49</v>
      </c>
      <c r="I281" s="26" t="s">
        <v>110</v>
      </c>
      <c r="J281" s="26" t="s">
        <v>87</v>
      </c>
      <c r="K281" s="26">
        <v>33071</v>
      </c>
      <c r="L281" s="31" t="s">
        <v>1112</v>
      </c>
      <c r="M281" s="26">
        <v>4238</v>
      </c>
      <c r="N281" s="31" t="s">
        <v>1061</v>
      </c>
      <c r="O281" s="26">
        <v>2292422625</v>
      </c>
      <c r="P281" s="29" t="s">
        <v>2191</v>
      </c>
      <c r="Q281" s="31" t="s">
        <v>15</v>
      </c>
      <c r="R281" s="26">
        <v>5513972258</v>
      </c>
      <c r="S281" s="31" t="s">
        <v>2216</v>
      </c>
      <c r="T281" s="26" t="s">
        <v>2254</v>
      </c>
      <c r="U281" s="31" t="s">
        <v>2253</v>
      </c>
      <c r="V281" s="31" t="s">
        <v>1113</v>
      </c>
      <c r="W281" s="31" t="s">
        <v>1114</v>
      </c>
      <c r="X281" s="31" t="s">
        <v>99</v>
      </c>
      <c r="Y281" s="31">
        <v>60120</v>
      </c>
      <c r="Z281" s="31" t="s">
        <v>1085</v>
      </c>
      <c r="AA281" s="31" t="s">
        <v>734</v>
      </c>
      <c r="AB281" s="31" t="s">
        <v>1115</v>
      </c>
      <c r="AC281" s="31">
        <v>4525287773</v>
      </c>
      <c r="AD281" s="31">
        <v>4525287773</v>
      </c>
    </row>
    <row r="282" spans="1:30" x14ac:dyDescent="0.2">
      <c r="A282" s="26">
        <v>11083</v>
      </c>
      <c r="B282" s="26">
        <f>VLOOKUP(A282,Hoja1!A:A,1,FALSE)</f>
        <v>11083</v>
      </c>
      <c r="C282" s="27" t="s">
        <v>1116</v>
      </c>
      <c r="D282" s="28" t="s">
        <v>1046</v>
      </c>
      <c r="E282" s="29" t="s">
        <v>1047</v>
      </c>
      <c r="F282" s="29" t="s">
        <v>14</v>
      </c>
      <c r="G282" s="30">
        <v>33946</v>
      </c>
      <c r="H282" s="26" t="s">
        <v>49</v>
      </c>
      <c r="I282" s="26" t="s">
        <v>110</v>
      </c>
      <c r="J282" s="26" t="s">
        <v>110</v>
      </c>
      <c r="K282" s="26">
        <v>51356</v>
      </c>
      <c r="L282" s="31" t="s">
        <v>1117</v>
      </c>
      <c r="M282" s="26">
        <v>5686</v>
      </c>
      <c r="N282" s="31" t="s">
        <v>1118</v>
      </c>
      <c r="O282" s="26">
        <v>4491069353</v>
      </c>
      <c r="P282" s="29" t="s">
        <v>2192</v>
      </c>
      <c r="Q282" s="31" t="s">
        <v>15</v>
      </c>
      <c r="R282" s="26">
        <v>5513972258</v>
      </c>
      <c r="S282" s="31" t="s">
        <v>2216</v>
      </c>
      <c r="T282" s="26" t="s">
        <v>2254</v>
      </c>
      <c r="U282" s="31" t="s">
        <v>2253</v>
      </c>
      <c r="V282" s="31" t="s">
        <v>1119</v>
      </c>
      <c r="W282" s="31" t="s">
        <v>1120</v>
      </c>
      <c r="X282" s="31" t="s">
        <v>99</v>
      </c>
      <c r="Y282" s="31">
        <v>20115</v>
      </c>
      <c r="Z282" s="31" t="s">
        <v>1121</v>
      </c>
      <c r="AA282" s="31" t="s">
        <v>1121</v>
      </c>
      <c r="AB282" s="31" t="s">
        <v>1122</v>
      </c>
      <c r="AC282" s="31">
        <v>4499964740</v>
      </c>
      <c r="AD282" s="31">
        <v>4499964515</v>
      </c>
    </row>
    <row r="283" spans="1:30" x14ac:dyDescent="0.2">
      <c r="A283" s="26">
        <v>11136</v>
      </c>
      <c r="B283" s="26">
        <f>VLOOKUP(A283,Hoja1!A:A,1,FALSE)</f>
        <v>11136</v>
      </c>
      <c r="C283" s="27" t="s">
        <v>1123</v>
      </c>
      <c r="D283" s="28" t="s">
        <v>1046</v>
      </c>
      <c r="E283" s="29" t="s">
        <v>1047</v>
      </c>
      <c r="F283" s="29" t="s">
        <v>14</v>
      </c>
      <c r="G283" s="30">
        <v>35002</v>
      </c>
      <c r="H283" s="26" t="s">
        <v>49</v>
      </c>
      <c r="I283" s="26" t="s">
        <v>110</v>
      </c>
      <c r="J283" s="26" t="s">
        <v>110</v>
      </c>
      <c r="K283" s="26">
        <v>32339</v>
      </c>
      <c r="L283" s="31" t="s">
        <v>1124</v>
      </c>
      <c r="M283" s="26">
        <v>5686</v>
      </c>
      <c r="N283" s="31" t="s">
        <v>1118</v>
      </c>
      <c r="O283" s="26">
        <v>4491069353</v>
      </c>
      <c r="P283" s="29" t="s">
        <v>2192</v>
      </c>
      <c r="Q283" s="31" t="s">
        <v>15</v>
      </c>
      <c r="R283" s="26">
        <v>5513972258</v>
      </c>
      <c r="S283" s="31" t="s">
        <v>2216</v>
      </c>
      <c r="T283" s="26" t="s">
        <v>2254</v>
      </c>
      <c r="U283" s="31" t="s">
        <v>2253</v>
      </c>
      <c r="V283" s="31" t="s">
        <v>1125</v>
      </c>
      <c r="W283" s="31" t="s">
        <v>1126</v>
      </c>
      <c r="X283" s="31" t="s">
        <v>99</v>
      </c>
      <c r="Y283" s="31">
        <v>20080</v>
      </c>
      <c r="Z283" s="31" t="s">
        <v>1121</v>
      </c>
      <c r="AA283" s="31" t="s">
        <v>1121</v>
      </c>
      <c r="AB283" s="31" t="s">
        <v>1127</v>
      </c>
      <c r="AC283" s="31">
        <v>4499157323</v>
      </c>
      <c r="AD283" s="31">
        <v>4499180908</v>
      </c>
    </row>
    <row r="284" spans="1:30" x14ac:dyDescent="0.2">
      <c r="A284" s="26">
        <v>11145</v>
      </c>
      <c r="B284" s="26">
        <f>VLOOKUP(A284,Hoja1!A:A,1,FALSE)</f>
        <v>11145</v>
      </c>
      <c r="C284" s="27" t="s">
        <v>1128</v>
      </c>
      <c r="D284" s="28" t="s">
        <v>1046</v>
      </c>
      <c r="E284" s="29" t="s">
        <v>1047</v>
      </c>
      <c r="F284" s="29" t="s">
        <v>14</v>
      </c>
      <c r="G284" s="30">
        <v>35352</v>
      </c>
      <c r="H284" s="26" t="s">
        <v>49</v>
      </c>
      <c r="I284" s="26" t="s">
        <v>110</v>
      </c>
      <c r="J284" s="26" t="s">
        <v>110</v>
      </c>
      <c r="K284" s="26">
        <v>118709</v>
      </c>
      <c r="L284" s="31" t="s">
        <v>1129</v>
      </c>
      <c r="M284" s="26">
        <v>5686</v>
      </c>
      <c r="N284" s="31" t="s">
        <v>1118</v>
      </c>
      <c r="O284" s="26">
        <v>4491069353</v>
      </c>
      <c r="P284" s="29" t="s">
        <v>2192</v>
      </c>
      <c r="Q284" s="31" t="s">
        <v>15</v>
      </c>
      <c r="R284" s="26">
        <v>5513972258</v>
      </c>
      <c r="S284" s="31" t="s">
        <v>2216</v>
      </c>
      <c r="T284" s="26" t="s">
        <v>2254</v>
      </c>
      <c r="U284" s="31" t="s">
        <v>2253</v>
      </c>
      <c r="V284" s="31" t="s">
        <v>1130</v>
      </c>
      <c r="W284" s="31" t="s">
        <v>1131</v>
      </c>
      <c r="X284" s="31" t="s">
        <v>99</v>
      </c>
      <c r="Y284" s="31">
        <v>98050</v>
      </c>
      <c r="Z284" s="31" t="s">
        <v>1128</v>
      </c>
      <c r="AA284" s="31" t="s">
        <v>1128</v>
      </c>
      <c r="AB284" s="31" t="s">
        <v>1132</v>
      </c>
      <c r="AC284" s="31">
        <v>4929241554</v>
      </c>
      <c r="AD284" s="31">
        <v>4929227828</v>
      </c>
    </row>
    <row r="285" spans="1:30" x14ac:dyDescent="0.2">
      <c r="A285" s="26">
        <v>11156</v>
      </c>
      <c r="B285" s="26">
        <f>VLOOKUP(A285,Hoja1!A:A,1,FALSE)</f>
        <v>11156</v>
      </c>
      <c r="C285" s="27" t="s">
        <v>1133</v>
      </c>
      <c r="D285" s="28" t="s">
        <v>1046</v>
      </c>
      <c r="E285" s="29" t="s">
        <v>1047</v>
      </c>
      <c r="F285" s="29" t="s">
        <v>14</v>
      </c>
      <c r="G285" s="30">
        <v>35642</v>
      </c>
      <c r="H285" s="26" t="s">
        <v>49</v>
      </c>
      <c r="I285" s="26" t="s">
        <v>110</v>
      </c>
      <c r="J285" s="26" t="s">
        <v>110</v>
      </c>
      <c r="K285" s="26">
        <v>117709</v>
      </c>
      <c r="L285" s="31" t="s">
        <v>1134</v>
      </c>
      <c r="M285" s="26">
        <v>5686</v>
      </c>
      <c r="N285" s="31" t="s">
        <v>1118</v>
      </c>
      <c r="O285" s="26">
        <v>4491069353</v>
      </c>
      <c r="P285" s="29" t="s">
        <v>2192</v>
      </c>
      <c r="Q285" s="31" t="s">
        <v>15</v>
      </c>
      <c r="R285" s="26">
        <v>5513972258</v>
      </c>
      <c r="S285" s="31" t="s">
        <v>2216</v>
      </c>
      <c r="T285" s="26" t="s">
        <v>2254</v>
      </c>
      <c r="U285" s="31" t="s">
        <v>2253</v>
      </c>
      <c r="V285" s="31" t="s">
        <v>1135</v>
      </c>
      <c r="W285" s="31" t="s">
        <v>1136</v>
      </c>
      <c r="X285" s="31" t="s">
        <v>99</v>
      </c>
      <c r="Y285" s="31">
        <v>99070</v>
      </c>
      <c r="Z285" s="31" t="s">
        <v>1133</v>
      </c>
      <c r="AA285" s="31" t="s">
        <v>1128</v>
      </c>
      <c r="AB285" s="31" t="s">
        <v>1137</v>
      </c>
      <c r="AC285" s="31">
        <v>4939330672</v>
      </c>
      <c r="AD285" s="31">
        <v>4939331112</v>
      </c>
    </row>
    <row r="286" spans="1:30" x14ac:dyDescent="0.2">
      <c r="A286" s="26">
        <v>11244</v>
      </c>
      <c r="B286" s="26">
        <f>VLOOKUP(A286,Hoja1!A:A,1,FALSE)</f>
        <v>11244</v>
      </c>
      <c r="C286" s="27" t="s">
        <v>1138</v>
      </c>
      <c r="D286" s="28" t="s">
        <v>1046</v>
      </c>
      <c r="E286" s="29" t="s">
        <v>1047</v>
      </c>
      <c r="F286" s="29" t="s">
        <v>14</v>
      </c>
      <c r="G286" s="30">
        <v>36409</v>
      </c>
      <c r="H286" s="26" t="s">
        <v>49</v>
      </c>
      <c r="I286" s="26" t="s">
        <v>110</v>
      </c>
      <c r="J286" s="26" t="s">
        <v>110</v>
      </c>
      <c r="K286" s="26">
        <v>50189</v>
      </c>
      <c r="L286" s="31" t="s">
        <v>1139</v>
      </c>
      <c r="M286" s="26">
        <v>5686</v>
      </c>
      <c r="N286" s="31" t="s">
        <v>1118</v>
      </c>
      <c r="O286" s="26">
        <v>4491069353</v>
      </c>
      <c r="P286" s="29" t="s">
        <v>2192</v>
      </c>
      <c r="Q286" s="31" t="s">
        <v>15</v>
      </c>
      <c r="R286" s="26">
        <v>5513972258</v>
      </c>
      <c r="S286" s="31" t="s">
        <v>2216</v>
      </c>
      <c r="T286" s="26" t="s">
        <v>2254</v>
      </c>
      <c r="U286" s="31" t="s">
        <v>2253</v>
      </c>
      <c r="V286" s="31" t="s">
        <v>1140</v>
      </c>
      <c r="W286" s="31" t="s">
        <v>1141</v>
      </c>
      <c r="X286" s="31" t="s">
        <v>99</v>
      </c>
      <c r="Y286" s="31">
        <v>20133</v>
      </c>
      <c r="Z286" s="31" t="s">
        <v>1121</v>
      </c>
      <c r="AA286" s="31" t="s">
        <v>1121</v>
      </c>
      <c r="AB286" s="31" t="s">
        <v>1142</v>
      </c>
      <c r="AC286" s="31">
        <v>4499171010</v>
      </c>
      <c r="AD286" s="31">
        <v>4499172000</v>
      </c>
    </row>
    <row r="287" spans="1:30" x14ac:dyDescent="0.2">
      <c r="A287" s="26">
        <v>11353</v>
      </c>
      <c r="B287" s="26">
        <f>VLOOKUP(A287,Hoja1!A:A,1,FALSE)</f>
        <v>11353</v>
      </c>
      <c r="C287" s="27" t="s">
        <v>1143</v>
      </c>
      <c r="D287" s="28" t="s">
        <v>1046</v>
      </c>
      <c r="E287" s="29" t="s">
        <v>1047</v>
      </c>
      <c r="F287" s="29" t="s">
        <v>14</v>
      </c>
      <c r="G287" s="30">
        <v>36875</v>
      </c>
      <c r="H287" s="26" t="s">
        <v>49</v>
      </c>
      <c r="I287" s="26" t="s">
        <v>110</v>
      </c>
      <c r="J287" s="26" t="s">
        <v>110</v>
      </c>
      <c r="K287" s="26">
        <v>116991</v>
      </c>
      <c r="L287" s="31" t="s">
        <v>1153</v>
      </c>
      <c r="M287" s="26">
        <v>5686</v>
      </c>
      <c r="N287" s="31" t="s">
        <v>1118</v>
      </c>
      <c r="O287" s="26">
        <v>4491069353</v>
      </c>
      <c r="P287" s="29" t="s">
        <v>2192</v>
      </c>
      <c r="Q287" s="31" t="s">
        <v>15</v>
      </c>
      <c r="R287" s="26">
        <v>5513972258</v>
      </c>
      <c r="S287" s="31" t="s">
        <v>2216</v>
      </c>
      <c r="T287" s="26" t="s">
        <v>2254</v>
      </c>
      <c r="U287" s="31" t="s">
        <v>2253</v>
      </c>
      <c r="V287" s="31" t="s">
        <v>1144</v>
      </c>
      <c r="W287" s="31" t="s">
        <v>1145</v>
      </c>
      <c r="X287" s="31" t="s">
        <v>99</v>
      </c>
      <c r="Y287" s="31">
        <v>20070</v>
      </c>
      <c r="Z287" s="31" t="s">
        <v>1121</v>
      </c>
      <c r="AA287" s="31" t="s">
        <v>1121</v>
      </c>
      <c r="AB287" s="31" t="s">
        <v>1146</v>
      </c>
      <c r="AC287" s="31">
        <v>4499174441</v>
      </c>
      <c r="AD287" s="31">
        <v>4499135860</v>
      </c>
    </row>
    <row r="288" spans="1:30" x14ac:dyDescent="0.2">
      <c r="A288" s="26">
        <v>11354</v>
      </c>
      <c r="B288" s="26">
        <f>VLOOKUP(A288,Hoja1!A:A,1,FALSE)</f>
        <v>11354</v>
      </c>
      <c r="C288" s="27" t="s">
        <v>1147</v>
      </c>
      <c r="D288" s="28" t="s">
        <v>1046</v>
      </c>
      <c r="E288" s="29" t="s">
        <v>1047</v>
      </c>
      <c r="F288" s="29" t="s">
        <v>14</v>
      </c>
      <c r="G288" s="30">
        <v>36914</v>
      </c>
      <c r="H288" s="26" t="s">
        <v>49</v>
      </c>
      <c r="I288" s="26" t="s">
        <v>110</v>
      </c>
      <c r="J288" s="26" t="s">
        <v>110</v>
      </c>
      <c r="K288" s="26">
        <v>12609</v>
      </c>
      <c r="L288" s="31" t="s">
        <v>1148</v>
      </c>
      <c r="M288" s="26">
        <v>5686</v>
      </c>
      <c r="N288" s="31" t="s">
        <v>1118</v>
      </c>
      <c r="O288" s="26">
        <v>4491069353</v>
      </c>
      <c r="P288" s="29" t="s">
        <v>2192</v>
      </c>
      <c r="Q288" s="31" t="s">
        <v>15</v>
      </c>
      <c r="R288" s="26">
        <v>5513972258</v>
      </c>
      <c r="S288" s="31" t="s">
        <v>2216</v>
      </c>
      <c r="T288" s="26" t="s">
        <v>2254</v>
      </c>
      <c r="U288" s="31" t="s">
        <v>2253</v>
      </c>
      <c r="V288" s="31" t="s">
        <v>1149</v>
      </c>
      <c r="W288" s="31" t="s">
        <v>1150</v>
      </c>
      <c r="X288" s="31" t="s">
        <v>99</v>
      </c>
      <c r="Y288" s="31">
        <v>98064</v>
      </c>
      <c r="Z288" s="31" t="s">
        <v>1128</v>
      </c>
      <c r="AA288" s="31" t="s">
        <v>1128</v>
      </c>
      <c r="AB288" s="31" t="s">
        <v>1151</v>
      </c>
      <c r="AC288" s="31">
        <v>4928991071</v>
      </c>
      <c r="AD288" s="31">
        <v>4929238235</v>
      </c>
    </row>
    <row r="289" spans="1:30" x14ac:dyDescent="0.2">
      <c r="A289" s="26">
        <v>11897</v>
      </c>
      <c r="B289" s="26">
        <f>VLOOKUP(A289,Hoja1!A:A,1,FALSE)</f>
        <v>11897</v>
      </c>
      <c r="C289" s="27" t="s">
        <v>1152</v>
      </c>
      <c r="D289" s="28" t="s">
        <v>1046</v>
      </c>
      <c r="E289" s="29" t="s">
        <v>1047</v>
      </c>
      <c r="F289" s="29" t="s">
        <v>14</v>
      </c>
      <c r="G289" s="30">
        <v>39479</v>
      </c>
      <c r="H289" s="26" t="s">
        <v>49</v>
      </c>
      <c r="I289" s="26" t="s">
        <v>50</v>
      </c>
      <c r="J289" s="26" t="s">
        <v>153</v>
      </c>
      <c r="K289" s="26">
        <v>51299</v>
      </c>
      <c r="L289" s="31" t="s">
        <v>2452</v>
      </c>
      <c r="M289" s="26">
        <v>5686</v>
      </c>
      <c r="N289" s="31" t="s">
        <v>1118</v>
      </c>
      <c r="O289" s="26">
        <v>4491069353</v>
      </c>
      <c r="P289" s="29" t="s">
        <v>2192</v>
      </c>
      <c r="Q289" s="31" t="s">
        <v>15</v>
      </c>
      <c r="R289" s="26">
        <v>5513972258</v>
      </c>
      <c r="S289" s="31" t="s">
        <v>2216</v>
      </c>
      <c r="T289" s="26" t="s">
        <v>2254</v>
      </c>
      <c r="U289" s="31" t="s">
        <v>2253</v>
      </c>
      <c r="V289" s="31" t="s">
        <v>1154</v>
      </c>
      <c r="W289" s="31" t="s">
        <v>1155</v>
      </c>
      <c r="X289" s="31" t="s">
        <v>99</v>
      </c>
      <c r="Y289" s="31">
        <v>20116</v>
      </c>
      <c r="Z289" s="31" t="s">
        <v>1121</v>
      </c>
      <c r="AA289" s="31" t="s">
        <v>1121</v>
      </c>
      <c r="AB289" s="31" t="s">
        <v>1156</v>
      </c>
      <c r="AC289" s="31">
        <v>4499932672</v>
      </c>
      <c r="AD289" s="31">
        <v>4499932701</v>
      </c>
    </row>
    <row r="290" spans="1:30" x14ac:dyDescent="0.2">
      <c r="A290" s="26">
        <v>11930</v>
      </c>
      <c r="B290" s="26">
        <f>VLOOKUP(A290,Hoja1!A:A,1,FALSE)</f>
        <v>11930</v>
      </c>
      <c r="C290" s="27" t="s">
        <v>1157</v>
      </c>
      <c r="D290" s="28" t="s">
        <v>1046</v>
      </c>
      <c r="E290" s="29" t="s">
        <v>1047</v>
      </c>
      <c r="F290" s="29" t="s">
        <v>14</v>
      </c>
      <c r="G290" s="30">
        <v>41415</v>
      </c>
      <c r="H290" s="26" t="s">
        <v>49</v>
      </c>
      <c r="I290" s="26" t="s">
        <v>50</v>
      </c>
      <c r="J290" s="26" t="s">
        <v>153</v>
      </c>
      <c r="K290" s="26">
        <v>76539</v>
      </c>
      <c r="L290" s="31" t="s">
        <v>1158</v>
      </c>
      <c r="M290" s="26">
        <v>5686</v>
      </c>
      <c r="N290" s="31" t="s">
        <v>1118</v>
      </c>
      <c r="O290" s="26">
        <v>4491069353</v>
      </c>
      <c r="P290" s="29" t="s">
        <v>2192</v>
      </c>
      <c r="Q290" s="31" t="s">
        <v>15</v>
      </c>
      <c r="R290" s="26">
        <v>5513972258</v>
      </c>
      <c r="S290" s="31" t="s">
        <v>2216</v>
      </c>
      <c r="T290" s="26" t="s">
        <v>2254</v>
      </c>
      <c r="U290" s="31" t="s">
        <v>2253</v>
      </c>
      <c r="V290" s="31" t="s">
        <v>1159</v>
      </c>
      <c r="W290" s="31" t="s">
        <v>1160</v>
      </c>
      <c r="X290" s="31" t="s">
        <v>99</v>
      </c>
      <c r="Y290" s="31">
        <v>98040</v>
      </c>
      <c r="Z290" s="31" t="s">
        <v>1128</v>
      </c>
      <c r="AA290" s="31" t="s">
        <v>1128</v>
      </c>
      <c r="AB290" s="31" t="s">
        <v>1161</v>
      </c>
      <c r="AC290" s="31">
        <v>4921561246</v>
      </c>
      <c r="AD290" s="31">
        <v>4921561200</v>
      </c>
    </row>
    <row r="291" spans="1:30" x14ac:dyDescent="0.2">
      <c r="A291" s="26">
        <v>11014</v>
      </c>
      <c r="B291" s="26">
        <f>VLOOKUP(A291,Hoja1!A:A,1,FALSE)</f>
        <v>11014</v>
      </c>
      <c r="C291" s="27" t="s">
        <v>1162</v>
      </c>
      <c r="D291" s="28" t="s">
        <v>948</v>
      </c>
      <c r="E291" s="29" t="s">
        <v>949</v>
      </c>
      <c r="F291" s="29" t="s">
        <v>14</v>
      </c>
      <c r="G291" s="30">
        <v>33153</v>
      </c>
      <c r="H291" s="26" t="s">
        <v>49</v>
      </c>
      <c r="I291" s="26" t="s">
        <v>110</v>
      </c>
      <c r="J291" s="26" t="s">
        <v>110</v>
      </c>
      <c r="K291" s="26">
        <v>11071</v>
      </c>
      <c r="L291" s="31" t="s">
        <v>1163</v>
      </c>
      <c r="M291" s="26">
        <v>5860</v>
      </c>
      <c r="N291" s="31" t="s">
        <v>1164</v>
      </c>
      <c r="O291" s="26">
        <v>4772741290</v>
      </c>
      <c r="P291" s="29" t="s">
        <v>2193</v>
      </c>
      <c r="Q291" s="31" t="s">
        <v>15</v>
      </c>
      <c r="R291" s="26">
        <v>5513972258</v>
      </c>
      <c r="S291" s="31" t="s">
        <v>2216</v>
      </c>
      <c r="T291" s="26" t="s">
        <v>2254</v>
      </c>
      <c r="U291" s="31" t="s">
        <v>2253</v>
      </c>
      <c r="V291" s="31" t="s">
        <v>1165</v>
      </c>
      <c r="W291" s="31" t="s">
        <v>1166</v>
      </c>
      <c r="X291" s="31" t="s">
        <v>99</v>
      </c>
      <c r="Y291" s="31">
        <v>48310</v>
      </c>
      <c r="Z291" s="31" t="s">
        <v>1167</v>
      </c>
      <c r="AA291" s="31" t="s">
        <v>955</v>
      </c>
      <c r="AB291" s="31" t="s">
        <v>1168</v>
      </c>
      <c r="AC291" s="31">
        <v>3222256018</v>
      </c>
      <c r="AD291" s="31">
        <v>3222241222</v>
      </c>
    </row>
    <row r="292" spans="1:30" x14ac:dyDescent="0.2">
      <c r="A292" s="26">
        <v>11090</v>
      </c>
      <c r="B292" s="26">
        <f>VLOOKUP(A292,Hoja1!A:A,1,FALSE)</f>
        <v>11090</v>
      </c>
      <c r="C292" s="27" t="s">
        <v>1169</v>
      </c>
      <c r="D292" s="28" t="s">
        <v>948</v>
      </c>
      <c r="E292" s="29" t="s">
        <v>949</v>
      </c>
      <c r="F292" s="29" t="s">
        <v>14</v>
      </c>
      <c r="G292" s="30">
        <v>33678</v>
      </c>
      <c r="H292" s="26" t="s">
        <v>49</v>
      </c>
      <c r="I292" s="26" t="s">
        <v>110</v>
      </c>
      <c r="J292" s="26" t="s">
        <v>110</v>
      </c>
      <c r="K292" s="26">
        <v>34510</v>
      </c>
      <c r="L292" s="31" t="s">
        <v>1170</v>
      </c>
      <c r="M292" s="26">
        <v>5860</v>
      </c>
      <c r="N292" s="31" t="s">
        <v>1164</v>
      </c>
      <c r="O292" s="26">
        <v>4772741290</v>
      </c>
      <c r="P292" s="29" t="s">
        <v>2193</v>
      </c>
      <c r="Q292" s="31" t="s">
        <v>15</v>
      </c>
      <c r="R292" s="26">
        <v>5513972258</v>
      </c>
      <c r="S292" s="31" t="s">
        <v>2216</v>
      </c>
      <c r="T292" s="26" t="s">
        <v>2254</v>
      </c>
      <c r="U292" s="31" t="s">
        <v>2253</v>
      </c>
      <c r="V292" s="31" t="s">
        <v>1171</v>
      </c>
      <c r="W292" s="31" t="s">
        <v>89</v>
      </c>
      <c r="X292" s="31" t="s">
        <v>99</v>
      </c>
      <c r="Y292" s="31">
        <v>48300</v>
      </c>
      <c r="Z292" s="31" t="s">
        <v>1167</v>
      </c>
      <c r="AA292" s="31" t="s">
        <v>955</v>
      </c>
      <c r="AB292" s="31" t="s">
        <v>1172</v>
      </c>
      <c r="AC292" s="31">
        <v>3222220884</v>
      </c>
      <c r="AD292" s="31">
        <v>3222231425</v>
      </c>
    </row>
    <row r="293" spans="1:30" x14ac:dyDescent="0.2">
      <c r="A293" s="26">
        <v>11312</v>
      </c>
      <c r="B293" s="26">
        <f>VLOOKUP(A293,Hoja1!A:A,1,FALSE)</f>
        <v>11312</v>
      </c>
      <c r="C293" s="27" t="s">
        <v>1173</v>
      </c>
      <c r="D293" s="28" t="s">
        <v>948</v>
      </c>
      <c r="E293" s="29" t="s">
        <v>949</v>
      </c>
      <c r="F293" s="29" t="s">
        <v>14</v>
      </c>
      <c r="G293" s="30">
        <v>36719</v>
      </c>
      <c r="H293" s="26" t="s">
        <v>49</v>
      </c>
      <c r="I293" s="26" t="s">
        <v>110</v>
      </c>
      <c r="J293" s="26" t="s">
        <v>110</v>
      </c>
      <c r="K293" s="26">
        <v>108043</v>
      </c>
      <c r="L293" s="31" t="s">
        <v>1174</v>
      </c>
      <c r="M293" s="26">
        <v>5860</v>
      </c>
      <c r="N293" s="31" t="s">
        <v>1164</v>
      </c>
      <c r="O293" s="26">
        <v>4772741290</v>
      </c>
      <c r="P293" s="29" t="s">
        <v>2193</v>
      </c>
      <c r="Q293" s="31" t="s">
        <v>15</v>
      </c>
      <c r="R293" s="26">
        <v>5513972258</v>
      </c>
      <c r="S293" s="31" t="s">
        <v>2216</v>
      </c>
      <c r="T293" s="26" t="s">
        <v>2254</v>
      </c>
      <c r="U293" s="31" t="s">
        <v>2253</v>
      </c>
      <c r="V293" s="31" t="s">
        <v>1175</v>
      </c>
      <c r="W293" s="31" t="s">
        <v>1176</v>
      </c>
      <c r="X293" s="31" t="s">
        <v>99</v>
      </c>
      <c r="Y293" s="31">
        <v>48290</v>
      </c>
      <c r="Z293" s="31" t="s">
        <v>1167</v>
      </c>
      <c r="AA293" s="31" t="s">
        <v>955</v>
      </c>
      <c r="AB293" s="31" t="s">
        <v>1177</v>
      </c>
      <c r="AC293" s="31">
        <v>3222937913</v>
      </c>
      <c r="AD293" s="31">
        <v>3222937909</v>
      </c>
    </row>
    <row r="294" spans="1:30" x14ac:dyDescent="0.2">
      <c r="A294" s="26">
        <v>11321</v>
      </c>
      <c r="B294" s="26">
        <f>VLOOKUP(A294,Hoja1!A:A,1,FALSE)</f>
        <v>11321</v>
      </c>
      <c r="C294" s="27" t="s">
        <v>1178</v>
      </c>
      <c r="D294" s="28" t="s">
        <v>948</v>
      </c>
      <c r="E294" s="29" t="s">
        <v>949</v>
      </c>
      <c r="F294" s="29" t="s">
        <v>14</v>
      </c>
      <c r="G294" s="30">
        <v>36832</v>
      </c>
      <c r="H294" s="26" t="s">
        <v>49</v>
      </c>
      <c r="I294" s="26" t="s">
        <v>110</v>
      </c>
      <c r="J294" s="26" t="s">
        <v>110</v>
      </c>
      <c r="K294" s="26">
        <v>47459</v>
      </c>
      <c r="L294" s="31" t="s">
        <v>1955</v>
      </c>
      <c r="M294" s="26">
        <v>5860</v>
      </c>
      <c r="N294" s="31" t="s">
        <v>1164</v>
      </c>
      <c r="O294" s="26">
        <v>4772741290</v>
      </c>
      <c r="P294" s="29" t="s">
        <v>2193</v>
      </c>
      <c r="Q294" s="31" t="s">
        <v>15</v>
      </c>
      <c r="R294" s="26">
        <v>5513972258</v>
      </c>
      <c r="S294" s="31" t="s">
        <v>2216</v>
      </c>
      <c r="T294" s="26" t="s">
        <v>2254</v>
      </c>
      <c r="U294" s="31" t="s">
        <v>2253</v>
      </c>
      <c r="V294" s="31" t="s">
        <v>1179</v>
      </c>
      <c r="W294" s="31" t="s">
        <v>1180</v>
      </c>
      <c r="X294" s="31" t="s">
        <v>99</v>
      </c>
      <c r="Y294" s="31">
        <v>63732</v>
      </c>
      <c r="Z294" s="31" t="s">
        <v>1181</v>
      </c>
      <c r="AA294" s="31" t="s">
        <v>1182</v>
      </c>
      <c r="AB294" s="31" t="s">
        <v>1183</v>
      </c>
      <c r="AC294" s="31">
        <v>3222974751</v>
      </c>
      <c r="AD294" s="31">
        <v>3222971235</v>
      </c>
    </row>
    <row r="295" spans="1:30" x14ac:dyDescent="0.2">
      <c r="A295" s="26">
        <v>11469</v>
      </c>
      <c r="B295" s="26">
        <f>VLOOKUP(A295,Hoja1!A:A,1,FALSE)</f>
        <v>11469</v>
      </c>
      <c r="C295" s="27" t="s">
        <v>1184</v>
      </c>
      <c r="D295" s="28" t="s">
        <v>948</v>
      </c>
      <c r="E295" s="29" t="s">
        <v>949</v>
      </c>
      <c r="F295" s="29" t="s">
        <v>14</v>
      </c>
      <c r="G295" s="30">
        <v>38570</v>
      </c>
      <c r="H295" s="26" t="s">
        <v>49</v>
      </c>
      <c r="I295" s="26" t="s">
        <v>110</v>
      </c>
      <c r="J295" s="26" t="s">
        <v>110</v>
      </c>
      <c r="K295" s="26">
        <v>74964</v>
      </c>
      <c r="L295" s="31" t="s">
        <v>1185</v>
      </c>
      <c r="M295" s="26">
        <v>5860</v>
      </c>
      <c r="N295" s="31" t="s">
        <v>1164</v>
      </c>
      <c r="O295" s="26">
        <v>4772741290</v>
      </c>
      <c r="P295" s="29" t="s">
        <v>2193</v>
      </c>
      <c r="Q295" s="31" t="s">
        <v>15</v>
      </c>
      <c r="R295" s="26">
        <v>5513972258</v>
      </c>
      <c r="S295" s="31" t="s">
        <v>2216</v>
      </c>
      <c r="T295" s="26" t="s">
        <v>2254</v>
      </c>
      <c r="U295" s="31" t="s">
        <v>2253</v>
      </c>
      <c r="V295" s="31" t="s">
        <v>1186</v>
      </c>
      <c r="W295" s="31" t="s">
        <v>1187</v>
      </c>
      <c r="X295" s="31" t="s">
        <v>99</v>
      </c>
      <c r="Y295" s="31">
        <v>48291</v>
      </c>
      <c r="Z295" s="31" t="s">
        <v>1167</v>
      </c>
      <c r="AA295" s="31" t="s">
        <v>955</v>
      </c>
      <c r="AB295" s="31" t="s">
        <v>1188</v>
      </c>
      <c r="AC295" s="31">
        <v>3222902281</v>
      </c>
      <c r="AD295" s="31">
        <v>3222900101</v>
      </c>
    </row>
    <row r="296" spans="1:30" x14ac:dyDescent="0.2">
      <c r="A296" s="26">
        <v>11491</v>
      </c>
      <c r="B296" s="26">
        <f>VLOOKUP(A296,Hoja1!A:A,1,FALSE)</f>
        <v>11491</v>
      </c>
      <c r="C296" s="27" t="s">
        <v>1189</v>
      </c>
      <c r="D296" s="28" t="s">
        <v>948</v>
      </c>
      <c r="E296" s="29" t="s">
        <v>949</v>
      </c>
      <c r="F296" s="29" t="s">
        <v>14</v>
      </c>
      <c r="G296" s="30">
        <v>38947</v>
      </c>
      <c r="H296" s="26" t="s">
        <v>49</v>
      </c>
      <c r="I296" s="26" t="s">
        <v>110</v>
      </c>
      <c r="J296" s="26" t="s">
        <v>110</v>
      </c>
      <c r="K296" s="26">
        <v>74067</v>
      </c>
      <c r="L296" s="31" t="s">
        <v>1190</v>
      </c>
      <c r="M296" s="26">
        <v>5860</v>
      </c>
      <c r="N296" s="31" t="s">
        <v>1164</v>
      </c>
      <c r="O296" s="26">
        <v>4772741290</v>
      </c>
      <c r="P296" s="29" t="s">
        <v>2193</v>
      </c>
      <c r="Q296" s="31" t="s">
        <v>15</v>
      </c>
      <c r="R296" s="26">
        <v>5513972258</v>
      </c>
      <c r="S296" s="31" t="s">
        <v>2216</v>
      </c>
      <c r="T296" s="26" t="s">
        <v>2254</v>
      </c>
      <c r="U296" s="31" t="s">
        <v>2253</v>
      </c>
      <c r="V296" s="31" t="s">
        <v>1191</v>
      </c>
      <c r="W296" s="31" t="s">
        <v>1192</v>
      </c>
      <c r="X296" s="31" t="s">
        <v>99</v>
      </c>
      <c r="Y296" s="31">
        <v>48328</v>
      </c>
      <c r="Z296" s="31" t="s">
        <v>1167</v>
      </c>
      <c r="AA296" s="31" t="s">
        <v>955</v>
      </c>
      <c r="AB296" s="31" t="s">
        <v>1193</v>
      </c>
      <c r="AC296" s="31">
        <v>3222931664</v>
      </c>
      <c r="AD296" s="31">
        <v>3222934697</v>
      </c>
    </row>
    <row r="297" spans="1:30" x14ac:dyDescent="0.2">
      <c r="A297" s="26">
        <v>11900</v>
      </c>
      <c r="B297" s="26">
        <f>VLOOKUP(A297,Hoja1!A:A,1,FALSE)</f>
        <v>11900</v>
      </c>
      <c r="C297" s="27" t="s">
        <v>1194</v>
      </c>
      <c r="D297" s="28" t="s">
        <v>948</v>
      </c>
      <c r="E297" s="29" t="s">
        <v>949</v>
      </c>
      <c r="F297" s="29" t="s">
        <v>14</v>
      </c>
      <c r="G297" s="30">
        <v>39619</v>
      </c>
      <c r="H297" s="26" t="s">
        <v>49</v>
      </c>
      <c r="I297" s="26" t="s">
        <v>50</v>
      </c>
      <c r="J297" s="26" t="s">
        <v>153</v>
      </c>
      <c r="K297" s="26">
        <v>105364</v>
      </c>
      <c r="L297" s="31" t="s">
        <v>1195</v>
      </c>
      <c r="M297" s="26">
        <v>5860</v>
      </c>
      <c r="N297" s="31" t="s">
        <v>1164</v>
      </c>
      <c r="O297" s="26">
        <v>4772741290</v>
      </c>
      <c r="P297" s="29" t="s">
        <v>2193</v>
      </c>
      <c r="Q297" s="31" t="s">
        <v>15</v>
      </c>
      <c r="R297" s="26">
        <v>5513972258</v>
      </c>
      <c r="S297" s="31" t="s">
        <v>2216</v>
      </c>
      <c r="T297" s="26" t="s">
        <v>2254</v>
      </c>
      <c r="U297" s="31" t="s">
        <v>2253</v>
      </c>
      <c r="V297" s="31" t="s">
        <v>1196</v>
      </c>
      <c r="W297" s="31" t="s">
        <v>1197</v>
      </c>
      <c r="X297" s="31" t="s">
        <v>99</v>
      </c>
      <c r="Y297" s="31">
        <v>48338</v>
      </c>
      <c r="Z297" s="31" t="s">
        <v>1167</v>
      </c>
      <c r="AA297" s="31" t="s">
        <v>955</v>
      </c>
      <c r="AB297" s="31" t="s">
        <v>1198</v>
      </c>
      <c r="AC297" s="31">
        <v>3222213371</v>
      </c>
      <c r="AD297" s="31">
        <v>3222213371</v>
      </c>
    </row>
    <row r="298" spans="1:30" x14ac:dyDescent="0.2">
      <c r="A298" s="26">
        <v>12355</v>
      </c>
      <c r="B298" s="26">
        <f>VLOOKUP(A298,Hoja1!A:A,1,FALSE)</f>
        <v>12355</v>
      </c>
      <c r="C298" s="27" t="s">
        <v>1199</v>
      </c>
      <c r="D298" s="28" t="s">
        <v>948</v>
      </c>
      <c r="E298" s="29" t="s">
        <v>949</v>
      </c>
      <c r="F298" s="29" t="s">
        <v>14</v>
      </c>
      <c r="G298" s="30">
        <v>43580</v>
      </c>
      <c r="H298" s="26" t="s">
        <v>49</v>
      </c>
      <c r="I298" s="26" t="s">
        <v>110</v>
      </c>
      <c r="J298" s="26" t="s">
        <v>110</v>
      </c>
      <c r="K298" s="26">
        <v>109235</v>
      </c>
      <c r="L298" s="31" t="s">
        <v>1200</v>
      </c>
      <c r="M298" s="26">
        <v>5860</v>
      </c>
      <c r="N298" s="31" t="s">
        <v>1164</v>
      </c>
      <c r="O298" s="26">
        <v>4772741290</v>
      </c>
      <c r="P298" s="29" t="s">
        <v>2193</v>
      </c>
      <c r="Q298" s="31" t="s">
        <v>15</v>
      </c>
      <c r="R298" s="26">
        <v>5513972258</v>
      </c>
      <c r="S298" s="31" t="s">
        <v>2216</v>
      </c>
      <c r="T298" s="26" t="s">
        <v>2254</v>
      </c>
      <c r="U298" s="31" t="s">
        <v>2253</v>
      </c>
      <c r="V298" s="31" t="s">
        <v>1201</v>
      </c>
      <c r="W298" s="31" t="s">
        <v>2162</v>
      </c>
      <c r="X298" s="31" t="s">
        <v>99</v>
      </c>
      <c r="Y298" s="31">
        <v>63737</v>
      </c>
      <c r="Z298" s="31" t="s">
        <v>2227</v>
      </c>
      <c r="AA298" s="31" t="s">
        <v>1182</v>
      </c>
      <c r="AB298" s="31" t="s">
        <v>1202</v>
      </c>
      <c r="AC298" s="31">
        <v>3292958700</v>
      </c>
      <c r="AD298" s="31">
        <v>3222958700</v>
      </c>
    </row>
    <row r="299" spans="1:30" x14ac:dyDescent="0.2">
      <c r="A299" s="26">
        <v>11046</v>
      </c>
      <c r="B299" s="26">
        <f>VLOOKUP(A299,Hoja1!A:A,1,FALSE)</f>
        <v>11046</v>
      </c>
      <c r="C299" s="27" t="s">
        <v>1203</v>
      </c>
      <c r="D299" s="28" t="s">
        <v>1046</v>
      </c>
      <c r="E299" s="29" t="s">
        <v>1047</v>
      </c>
      <c r="F299" s="29" t="s">
        <v>14</v>
      </c>
      <c r="G299" s="30">
        <v>33616</v>
      </c>
      <c r="H299" s="26" t="s">
        <v>49</v>
      </c>
      <c r="I299" s="26" t="s">
        <v>110</v>
      </c>
      <c r="J299" s="26" t="s">
        <v>110</v>
      </c>
      <c r="K299" s="26">
        <v>24611</v>
      </c>
      <c r="L299" s="31" t="s">
        <v>2112</v>
      </c>
      <c r="M299" s="26">
        <v>2083</v>
      </c>
      <c r="N299" s="31" t="s">
        <v>1205</v>
      </c>
      <c r="O299" s="26">
        <v>3315991394</v>
      </c>
      <c r="P299" s="29" t="s">
        <v>2194</v>
      </c>
      <c r="Q299" s="31" t="s">
        <v>15</v>
      </c>
      <c r="R299" s="26">
        <v>5513972258</v>
      </c>
      <c r="S299" s="31" t="s">
        <v>2216</v>
      </c>
      <c r="T299" s="26" t="s">
        <v>2254</v>
      </c>
      <c r="U299" s="31" t="s">
        <v>2253</v>
      </c>
      <c r="V299" s="31" t="s">
        <v>1206</v>
      </c>
      <c r="W299" s="31" t="s">
        <v>1207</v>
      </c>
      <c r="X299" s="31" t="s">
        <v>99</v>
      </c>
      <c r="Y299" s="31">
        <v>76000</v>
      </c>
      <c r="Z299" s="31" t="s">
        <v>1208</v>
      </c>
      <c r="AA299" s="31" t="s">
        <v>1208</v>
      </c>
      <c r="AB299" s="31" t="s">
        <v>1209</v>
      </c>
      <c r="AC299" s="31">
        <v>4422169176</v>
      </c>
      <c r="AD299" s="31">
        <v>4422156030</v>
      </c>
    </row>
    <row r="300" spans="1:30" x14ac:dyDescent="0.2">
      <c r="A300" s="26">
        <v>11180</v>
      </c>
      <c r="B300" s="26">
        <f>VLOOKUP(A300,Hoja1!A:A,1,FALSE)</f>
        <v>11180</v>
      </c>
      <c r="C300" s="27" t="s">
        <v>1210</v>
      </c>
      <c r="D300" s="28" t="s">
        <v>1046</v>
      </c>
      <c r="E300" s="29" t="s">
        <v>1047</v>
      </c>
      <c r="F300" s="29" t="s">
        <v>14</v>
      </c>
      <c r="G300" s="30">
        <v>36168</v>
      </c>
      <c r="H300" s="26" t="s">
        <v>49</v>
      </c>
      <c r="I300" s="26" t="s">
        <v>110</v>
      </c>
      <c r="J300" s="26" t="s">
        <v>110</v>
      </c>
      <c r="K300" s="26">
        <v>52045</v>
      </c>
      <c r="L300" s="31" t="s">
        <v>2113</v>
      </c>
      <c r="M300" s="26">
        <v>2083</v>
      </c>
      <c r="N300" s="31" t="s">
        <v>1205</v>
      </c>
      <c r="O300" s="26">
        <v>3315991394</v>
      </c>
      <c r="P300" s="29" t="s">
        <v>2194</v>
      </c>
      <c r="Q300" s="31" t="s">
        <v>15</v>
      </c>
      <c r="R300" s="26">
        <v>5513972258</v>
      </c>
      <c r="S300" s="31" t="s">
        <v>2216</v>
      </c>
      <c r="T300" s="26" t="s">
        <v>2254</v>
      </c>
      <c r="U300" s="31" t="s">
        <v>2253</v>
      </c>
      <c r="V300" s="31" t="s">
        <v>1211</v>
      </c>
      <c r="W300" s="31" t="s">
        <v>1212</v>
      </c>
      <c r="X300" s="31" t="s">
        <v>99</v>
      </c>
      <c r="Y300" s="31">
        <v>76807</v>
      </c>
      <c r="Z300" s="31" t="s">
        <v>1213</v>
      </c>
      <c r="AA300" s="31" t="s">
        <v>1208</v>
      </c>
      <c r="AB300" s="31" t="s">
        <v>1214</v>
      </c>
      <c r="AC300" s="31">
        <v>4272728904</v>
      </c>
      <c r="AD300" s="31">
        <v>4272726060</v>
      </c>
    </row>
    <row r="301" spans="1:30" x14ac:dyDescent="0.2">
      <c r="A301" s="26">
        <v>11252</v>
      </c>
      <c r="B301" s="26">
        <f>VLOOKUP(A301,Hoja1!A:A,1,FALSE)</f>
        <v>11252</v>
      </c>
      <c r="C301" s="27" t="s">
        <v>1049</v>
      </c>
      <c r="D301" s="28" t="s">
        <v>1046</v>
      </c>
      <c r="E301" s="29" t="s">
        <v>1047</v>
      </c>
      <c r="F301" s="29" t="s">
        <v>14</v>
      </c>
      <c r="G301" s="30">
        <v>36416</v>
      </c>
      <c r="H301" s="26" t="s">
        <v>49</v>
      </c>
      <c r="I301" s="26" t="s">
        <v>110</v>
      </c>
      <c r="J301" s="26" t="s">
        <v>110</v>
      </c>
      <c r="K301" s="26">
        <v>44414</v>
      </c>
      <c r="L301" s="31" t="s">
        <v>1050</v>
      </c>
      <c r="M301" s="26">
        <v>2083</v>
      </c>
      <c r="N301" s="31" t="s">
        <v>1205</v>
      </c>
      <c r="O301" s="26">
        <v>3315991394</v>
      </c>
      <c r="P301" s="29" t="s">
        <v>2194</v>
      </c>
      <c r="Q301" s="31" t="s">
        <v>15</v>
      </c>
      <c r="R301" s="26">
        <v>5513972258</v>
      </c>
      <c r="S301" s="31" t="s">
        <v>2216</v>
      </c>
      <c r="T301" s="26" t="s">
        <v>2254</v>
      </c>
      <c r="U301" s="31" t="s">
        <v>2253</v>
      </c>
      <c r="V301" s="31" t="s">
        <v>1051</v>
      </c>
      <c r="W301" s="31" t="s">
        <v>89</v>
      </c>
      <c r="X301" s="31" t="s">
        <v>99</v>
      </c>
      <c r="Y301" s="31">
        <v>37700</v>
      </c>
      <c r="Z301" s="31" t="s">
        <v>1052</v>
      </c>
      <c r="AA301" s="31" t="s">
        <v>1048</v>
      </c>
      <c r="AB301" s="31" t="s">
        <v>1053</v>
      </c>
      <c r="AC301" s="31">
        <v>4151545395</v>
      </c>
      <c r="AD301" s="31">
        <v>4151545300</v>
      </c>
    </row>
    <row r="302" spans="1:30" x14ac:dyDescent="0.2">
      <c r="A302" s="26">
        <v>11460</v>
      </c>
      <c r="B302" s="26">
        <f>VLOOKUP(A302,Hoja1!A:A,1,FALSE)</f>
        <v>11460</v>
      </c>
      <c r="C302" s="27" t="s">
        <v>1215</v>
      </c>
      <c r="D302" s="28" t="s">
        <v>1046</v>
      </c>
      <c r="E302" s="29" t="s">
        <v>1047</v>
      </c>
      <c r="F302" s="29" t="s">
        <v>14</v>
      </c>
      <c r="G302" s="30">
        <v>38396</v>
      </c>
      <c r="H302" s="26" t="s">
        <v>49</v>
      </c>
      <c r="I302" s="26" t="s">
        <v>110</v>
      </c>
      <c r="J302" s="26" t="s">
        <v>110</v>
      </c>
      <c r="K302" s="26">
        <v>51132</v>
      </c>
      <c r="L302" s="31" t="s">
        <v>1216</v>
      </c>
      <c r="M302" s="26">
        <v>2083</v>
      </c>
      <c r="N302" s="31" t="s">
        <v>1205</v>
      </c>
      <c r="O302" s="26">
        <v>3315991394</v>
      </c>
      <c r="P302" s="29" t="s">
        <v>2194</v>
      </c>
      <c r="Q302" s="31" t="s">
        <v>15</v>
      </c>
      <c r="R302" s="26">
        <v>5513972258</v>
      </c>
      <c r="S302" s="31" t="s">
        <v>2216</v>
      </c>
      <c r="T302" s="26" t="s">
        <v>2254</v>
      </c>
      <c r="U302" s="31" t="s">
        <v>2253</v>
      </c>
      <c r="V302" s="31" t="s">
        <v>1217</v>
      </c>
      <c r="W302" s="31" t="s">
        <v>1218</v>
      </c>
      <c r="X302" s="31" t="s">
        <v>99</v>
      </c>
      <c r="Y302" s="31">
        <v>76190</v>
      </c>
      <c r="Z302" s="31" t="s">
        <v>1208</v>
      </c>
      <c r="AA302" s="31" t="s">
        <v>1208</v>
      </c>
      <c r="AB302" s="31" t="s">
        <v>1219</v>
      </c>
      <c r="AC302" s="31">
        <v>4422280677</v>
      </c>
      <c r="AD302" s="31">
        <v>4422423532</v>
      </c>
    </row>
    <row r="303" spans="1:30" x14ac:dyDescent="0.2">
      <c r="A303" s="26">
        <v>11545</v>
      </c>
      <c r="B303" s="26">
        <f>VLOOKUP(A303,Hoja1!A:A,1,FALSE)</f>
        <v>11545</v>
      </c>
      <c r="C303" s="27" t="s">
        <v>1220</v>
      </c>
      <c r="D303" s="28" t="s">
        <v>1046</v>
      </c>
      <c r="E303" s="29" t="s">
        <v>1047</v>
      </c>
      <c r="F303" s="29" t="s">
        <v>14</v>
      </c>
      <c r="G303" s="30">
        <v>40936</v>
      </c>
      <c r="H303" s="26" t="s">
        <v>49</v>
      </c>
      <c r="I303" s="26" t="s">
        <v>110</v>
      </c>
      <c r="J303" s="26" t="s">
        <v>110</v>
      </c>
      <c r="K303" s="26">
        <v>52371</v>
      </c>
      <c r="L303" s="31" t="s">
        <v>2453</v>
      </c>
      <c r="M303" s="26">
        <v>2083</v>
      </c>
      <c r="N303" s="31" t="s">
        <v>1205</v>
      </c>
      <c r="O303" s="26">
        <v>3315991394</v>
      </c>
      <c r="P303" s="29" t="s">
        <v>2194</v>
      </c>
      <c r="Q303" s="31" t="s">
        <v>15</v>
      </c>
      <c r="R303" s="26">
        <v>5513972258</v>
      </c>
      <c r="S303" s="31" t="s">
        <v>2216</v>
      </c>
      <c r="T303" s="26" t="s">
        <v>2254</v>
      </c>
      <c r="U303" s="31" t="s">
        <v>2253</v>
      </c>
      <c r="V303" s="31" t="s">
        <v>1222</v>
      </c>
      <c r="W303" s="31" t="s">
        <v>1223</v>
      </c>
      <c r="X303" s="31" t="s">
        <v>99</v>
      </c>
      <c r="Y303" s="31">
        <v>76090</v>
      </c>
      <c r="Z303" s="31" t="s">
        <v>1208</v>
      </c>
      <c r="AA303" s="31" t="s">
        <v>1208</v>
      </c>
      <c r="AB303" s="31" t="s">
        <v>1224</v>
      </c>
      <c r="AC303" s="31">
        <v>4422229945</v>
      </c>
      <c r="AD303" s="31">
        <v>4422228777</v>
      </c>
    </row>
    <row r="304" spans="1:30" x14ac:dyDescent="0.2">
      <c r="A304" s="26">
        <v>11590</v>
      </c>
      <c r="B304" s="26">
        <f>VLOOKUP(A304,Hoja1!A:A,1,FALSE)</f>
        <v>11590</v>
      </c>
      <c r="C304" s="27" t="s">
        <v>1225</v>
      </c>
      <c r="D304" s="28" t="s">
        <v>1046</v>
      </c>
      <c r="E304" s="29" t="s">
        <v>1047</v>
      </c>
      <c r="F304" s="29" t="s">
        <v>14</v>
      </c>
      <c r="G304" s="30">
        <v>42529</v>
      </c>
      <c r="H304" s="26" t="s">
        <v>49</v>
      </c>
      <c r="I304" s="26" t="s">
        <v>110</v>
      </c>
      <c r="J304" s="26" t="s">
        <v>110</v>
      </c>
      <c r="K304" s="26">
        <v>51883</v>
      </c>
      <c r="L304" s="31" t="s">
        <v>1226</v>
      </c>
      <c r="M304" s="26">
        <v>2083</v>
      </c>
      <c r="N304" s="31" t="s">
        <v>1205</v>
      </c>
      <c r="O304" s="26">
        <v>3315991394</v>
      </c>
      <c r="P304" s="29" t="s">
        <v>2194</v>
      </c>
      <c r="Q304" s="31" t="s">
        <v>15</v>
      </c>
      <c r="R304" s="26">
        <v>5513972258</v>
      </c>
      <c r="S304" s="31" t="s">
        <v>2216</v>
      </c>
      <c r="T304" s="26" t="s">
        <v>2254</v>
      </c>
      <c r="U304" s="31" t="s">
        <v>2253</v>
      </c>
      <c r="V304" s="31" t="s">
        <v>1227</v>
      </c>
      <c r="W304" s="31" t="s">
        <v>1228</v>
      </c>
      <c r="X304" s="31" t="s">
        <v>99</v>
      </c>
      <c r="Y304" s="31">
        <v>76200</v>
      </c>
      <c r="Z304" s="31" t="s">
        <v>1208</v>
      </c>
      <c r="AA304" s="31" t="s">
        <v>1208</v>
      </c>
      <c r="AB304" s="31" t="s">
        <v>1229</v>
      </c>
      <c r="AC304" s="31">
        <v>4422201909</v>
      </c>
      <c r="AD304" s="31">
        <v>4422201909</v>
      </c>
    </row>
    <row r="305" spans="1:30" x14ac:dyDescent="0.2">
      <c r="A305" s="26">
        <v>11635</v>
      </c>
      <c r="B305" s="26">
        <f>VLOOKUP(A305,Hoja1!A:A,1,FALSE)</f>
        <v>11635</v>
      </c>
      <c r="C305" s="27" t="s">
        <v>1230</v>
      </c>
      <c r="D305" s="28" t="s">
        <v>1046</v>
      </c>
      <c r="E305" s="29" t="s">
        <v>1047</v>
      </c>
      <c r="F305" s="29" t="s">
        <v>14</v>
      </c>
      <c r="G305" s="30">
        <v>42979</v>
      </c>
      <c r="H305" s="26" t="s">
        <v>49</v>
      </c>
      <c r="I305" s="26" t="s">
        <v>110</v>
      </c>
      <c r="J305" s="26" t="s">
        <v>110</v>
      </c>
      <c r="K305" s="26">
        <v>114591</v>
      </c>
      <c r="L305" s="31" t="s">
        <v>1204</v>
      </c>
      <c r="M305" s="26">
        <v>2083</v>
      </c>
      <c r="N305" s="31" t="s">
        <v>1205</v>
      </c>
      <c r="O305" s="26">
        <v>3315991394</v>
      </c>
      <c r="P305" s="29" t="s">
        <v>2194</v>
      </c>
      <c r="Q305" s="31" t="s">
        <v>15</v>
      </c>
      <c r="R305" s="26">
        <v>5513972258</v>
      </c>
      <c r="S305" s="31" t="s">
        <v>2216</v>
      </c>
      <c r="T305" s="26" t="s">
        <v>2254</v>
      </c>
      <c r="U305" s="31" t="s">
        <v>2253</v>
      </c>
      <c r="V305" s="31" t="s">
        <v>1231</v>
      </c>
      <c r="W305" s="31" t="s">
        <v>1230</v>
      </c>
      <c r="X305" s="31" t="s">
        <v>99</v>
      </c>
      <c r="Y305" s="31">
        <v>76116</v>
      </c>
      <c r="Z305" s="31" t="s">
        <v>1208</v>
      </c>
      <c r="AA305" s="31" t="s">
        <v>1208</v>
      </c>
      <c r="AB305" s="31" t="s">
        <v>1232</v>
      </c>
      <c r="AC305" s="31">
        <v>4422986719</v>
      </c>
      <c r="AD305" s="31">
        <v>4422986719</v>
      </c>
    </row>
    <row r="306" spans="1:30" x14ac:dyDescent="0.2">
      <c r="A306" s="26">
        <v>11639</v>
      </c>
      <c r="B306" s="26">
        <f>VLOOKUP(A306,Hoja1!A:A,1,FALSE)</f>
        <v>11639</v>
      </c>
      <c r="C306" s="27" t="s">
        <v>1055</v>
      </c>
      <c r="D306" s="28" t="s">
        <v>1046</v>
      </c>
      <c r="E306" s="29" t="s">
        <v>1047</v>
      </c>
      <c r="F306" s="29" t="s">
        <v>14</v>
      </c>
      <c r="G306" s="30">
        <v>43055</v>
      </c>
      <c r="H306" s="26" t="s">
        <v>49</v>
      </c>
      <c r="I306" s="26" t="s">
        <v>110</v>
      </c>
      <c r="J306" s="26" t="s">
        <v>110</v>
      </c>
      <c r="K306" s="26" t="s">
        <v>395</v>
      </c>
      <c r="L306" s="31" t="s">
        <v>395</v>
      </c>
      <c r="M306" s="26">
        <v>2083</v>
      </c>
      <c r="N306" s="31" t="s">
        <v>1205</v>
      </c>
      <c r="O306" s="26">
        <v>3315991394</v>
      </c>
      <c r="P306" s="29" t="s">
        <v>2194</v>
      </c>
      <c r="Q306" s="31" t="s">
        <v>15</v>
      </c>
      <c r="R306" s="26">
        <v>5513972258</v>
      </c>
      <c r="S306" s="31" t="s">
        <v>2216</v>
      </c>
      <c r="T306" s="26" t="s">
        <v>2254</v>
      </c>
      <c r="U306" s="31" t="s">
        <v>2253</v>
      </c>
      <c r="V306" s="31" t="s">
        <v>1056</v>
      </c>
      <c r="W306" s="31" t="s">
        <v>1057</v>
      </c>
      <c r="X306" s="31" t="s">
        <v>1057</v>
      </c>
      <c r="Y306" s="31">
        <v>37745</v>
      </c>
      <c r="Z306" s="31" t="s">
        <v>1052</v>
      </c>
      <c r="AA306" s="31" t="s">
        <v>1048</v>
      </c>
      <c r="AB306" s="31" t="s">
        <v>1058</v>
      </c>
      <c r="AC306" s="31">
        <v>4151205447</v>
      </c>
      <c r="AD306" s="31">
        <v>4151205447</v>
      </c>
    </row>
    <row r="307" spans="1:30" x14ac:dyDescent="0.2">
      <c r="A307" s="26">
        <v>12330</v>
      </c>
      <c r="B307" s="26">
        <f>VLOOKUP(A307,Hoja1!A:A,1,FALSE)</f>
        <v>12330</v>
      </c>
      <c r="C307" s="27" t="s">
        <v>1233</v>
      </c>
      <c r="D307" s="28" t="s">
        <v>1046</v>
      </c>
      <c r="E307" s="29" t="s">
        <v>1047</v>
      </c>
      <c r="F307" s="29" t="s">
        <v>14</v>
      </c>
      <c r="G307" s="30">
        <v>43407</v>
      </c>
      <c r="H307" s="26" t="s">
        <v>49</v>
      </c>
      <c r="I307" s="26" t="s">
        <v>110</v>
      </c>
      <c r="J307" s="26" t="s">
        <v>110</v>
      </c>
      <c r="K307" s="26">
        <v>52025</v>
      </c>
      <c r="L307" s="31" t="s">
        <v>2114</v>
      </c>
      <c r="M307" s="26">
        <v>2083</v>
      </c>
      <c r="N307" s="31" t="s">
        <v>1205</v>
      </c>
      <c r="O307" s="26">
        <v>3315991394</v>
      </c>
      <c r="P307" s="29" t="s">
        <v>2194</v>
      </c>
      <c r="Q307" s="31" t="s">
        <v>15</v>
      </c>
      <c r="R307" s="26">
        <v>5513972258</v>
      </c>
      <c r="S307" s="31" t="s">
        <v>2216</v>
      </c>
      <c r="T307" s="26" t="s">
        <v>2254</v>
      </c>
      <c r="U307" s="31" t="s">
        <v>2253</v>
      </c>
      <c r="V307" s="31" t="s">
        <v>1234</v>
      </c>
      <c r="W307" s="31" t="s">
        <v>1235</v>
      </c>
      <c r="X307" s="31" t="s">
        <v>99</v>
      </c>
      <c r="Y307" s="31">
        <v>76150</v>
      </c>
      <c r="Z307" s="31" t="s">
        <v>1208</v>
      </c>
      <c r="AA307" s="31" t="s">
        <v>1208</v>
      </c>
      <c r="AB307" s="31" t="s">
        <v>1236</v>
      </c>
      <c r="AC307" s="31">
        <v>4424560111</v>
      </c>
      <c r="AD307" s="31">
        <v>4424560111</v>
      </c>
    </row>
    <row r="308" spans="1:30" x14ac:dyDescent="0.2">
      <c r="A308" s="15">
        <v>12358</v>
      </c>
      <c r="B308" s="26" t="e">
        <f>VLOOKUP(A308,Hoja1!A:A,1,FALSE)</f>
        <v>#N/A</v>
      </c>
      <c r="C308" s="13" t="s">
        <v>2127</v>
      </c>
      <c r="D308" s="35" t="s">
        <v>1046</v>
      </c>
      <c r="E308" s="13" t="s">
        <v>1047</v>
      </c>
      <c r="F308" s="13" t="s">
        <v>14</v>
      </c>
      <c r="G308" s="34">
        <v>43784</v>
      </c>
      <c r="H308" s="15" t="s">
        <v>49</v>
      </c>
      <c r="I308" s="15" t="s">
        <v>110</v>
      </c>
      <c r="J308" s="15" t="s">
        <v>110</v>
      </c>
      <c r="K308" s="26">
        <v>24760</v>
      </c>
      <c r="L308" s="31" t="s">
        <v>1221</v>
      </c>
      <c r="M308" s="26">
        <v>2083</v>
      </c>
      <c r="N308" s="31" t="s">
        <v>1205</v>
      </c>
      <c r="O308" s="26">
        <v>3315991394</v>
      </c>
      <c r="P308" s="29" t="s">
        <v>2194</v>
      </c>
      <c r="Q308" s="31" t="s">
        <v>15</v>
      </c>
      <c r="R308" s="26">
        <v>5513972258</v>
      </c>
      <c r="S308" s="31" t="s">
        <v>2216</v>
      </c>
      <c r="T308" s="26" t="s">
        <v>2254</v>
      </c>
      <c r="U308" s="31" t="s">
        <v>2253</v>
      </c>
      <c r="V308" s="13" t="s">
        <v>2230</v>
      </c>
      <c r="W308" s="31" t="s">
        <v>89</v>
      </c>
      <c r="X308" s="31" t="s">
        <v>99</v>
      </c>
      <c r="Y308" s="31">
        <v>76000</v>
      </c>
      <c r="Z308" s="31" t="s">
        <v>1208</v>
      </c>
      <c r="AA308" s="31" t="s">
        <v>1208</v>
      </c>
      <c r="AB308" s="31" t="s">
        <v>2128</v>
      </c>
      <c r="AC308" s="31" t="s">
        <v>99</v>
      </c>
      <c r="AD308" s="31">
        <v>4424560112</v>
      </c>
    </row>
    <row r="309" spans="1:30" x14ac:dyDescent="0.2">
      <c r="A309" s="26">
        <v>11179</v>
      </c>
      <c r="B309" s="26">
        <f>VLOOKUP(A309,Hoja1!A:A,1,FALSE)</f>
        <v>11179</v>
      </c>
      <c r="C309" s="27" t="s">
        <v>1237</v>
      </c>
      <c r="D309" s="28" t="s">
        <v>1046</v>
      </c>
      <c r="E309" s="29" t="s">
        <v>1047</v>
      </c>
      <c r="F309" s="29" t="s">
        <v>14</v>
      </c>
      <c r="G309" s="30">
        <v>36104</v>
      </c>
      <c r="H309" s="26" t="s">
        <v>49</v>
      </c>
      <c r="I309" s="26" t="s">
        <v>110</v>
      </c>
      <c r="J309" s="26" t="s">
        <v>110</v>
      </c>
      <c r="K309" s="26">
        <v>140134</v>
      </c>
      <c r="L309" s="31" t="s">
        <v>1956</v>
      </c>
      <c r="M309" s="26">
        <v>5462</v>
      </c>
      <c r="N309" s="31" t="s">
        <v>1238</v>
      </c>
      <c r="O309" s="26">
        <v>3315994071</v>
      </c>
      <c r="P309" s="29" t="s">
        <v>2195</v>
      </c>
      <c r="Q309" s="31" t="s">
        <v>15</v>
      </c>
      <c r="R309" s="26">
        <v>5513972258</v>
      </c>
      <c r="S309" s="31" t="s">
        <v>2216</v>
      </c>
      <c r="T309" s="26" t="s">
        <v>2254</v>
      </c>
      <c r="U309" s="31" t="s">
        <v>2253</v>
      </c>
      <c r="V309" s="31" t="s">
        <v>1239</v>
      </c>
      <c r="W309" s="31" t="s">
        <v>1240</v>
      </c>
      <c r="X309" s="31" t="s">
        <v>99</v>
      </c>
      <c r="Y309" s="31">
        <v>76020</v>
      </c>
      <c r="Z309" s="31" t="s">
        <v>1208</v>
      </c>
      <c r="AA309" s="31" t="s">
        <v>1208</v>
      </c>
      <c r="AB309" s="31" t="s">
        <v>1241</v>
      </c>
      <c r="AC309" s="31">
        <v>4422238257</v>
      </c>
      <c r="AD309" s="31">
        <v>4422238282</v>
      </c>
    </row>
    <row r="310" spans="1:30" x14ac:dyDescent="0.2">
      <c r="A310" s="26">
        <v>11302</v>
      </c>
      <c r="B310" s="26">
        <f>VLOOKUP(A310,Hoja1!A:A,1,FALSE)</f>
        <v>11302</v>
      </c>
      <c r="C310" s="27" t="s">
        <v>1242</v>
      </c>
      <c r="D310" s="28" t="s">
        <v>1046</v>
      </c>
      <c r="E310" s="29" t="s">
        <v>1047</v>
      </c>
      <c r="F310" s="29" t="s">
        <v>14</v>
      </c>
      <c r="G310" s="30">
        <v>36636</v>
      </c>
      <c r="H310" s="26" t="s">
        <v>49</v>
      </c>
      <c r="I310" s="26" t="s">
        <v>110</v>
      </c>
      <c r="J310" s="26" t="s">
        <v>110</v>
      </c>
      <c r="K310" s="26">
        <v>51884</v>
      </c>
      <c r="L310" s="31" t="s">
        <v>1243</v>
      </c>
      <c r="M310" s="26">
        <v>5462</v>
      </c>
      <c r="N310" s="31" t="s">
        <v>1238</v>
      </c>
      <c r="O310" s="26">
        <v>3315994071</v>
      </c>
      <c r="P310" s="29" t="s">
        <v>2195</v>
      </c>
      <c r="Q310" s="31" t="s">
        <v>15</v>
      </c>
      <c r="R310" s="26">
        <v>5513972258</v>
      </c>
      <c r="S310" s="31" t="s">
        <v>2216</v>
      </c>
      <c r="T310" s="26" t="s">
        <v>2254</v>
      </c>
      <c r="U310" s="31" t="s">
        <v>2253</v>
      </c>
      <c r="V310" s="31" t="s">
        <v>1244</v>
      </c>
      <c r="W310" s="31" t="s">
        <v>1245</v>
      </c>
      <c r="X310" s="31" t="s">
        <v>99</v>
      </c>
      <c r="Y310" s="31">
        <v>76130</v>
      </c>
      <c r="Z310" s="31" t="s">
        <v>1242</v>
      </c>
      <c r="AA310" s="31" t="s">
        <v>1208</v>
      </c>
      <c r="AB310" s="31" t="s">
        <v>1246</v>
      </c>
      <c r="AC310" s="31">
        <v>4422188309</v>
      </c>
      <c r="AD310" s="31">
        <v>4422188550</v>
      </c>
    </row>
    <row r="311" spans="1:30" x14ac:dyDescent="0.2">
      <c r="A311" s="26">
        <v>11439</v>
      </c>
      <c r="B311" s="26">
        <f>VLOOKUP(A311,Hoja1!A:A,1,FALSE)</f>
        <v>11439</v>
      </c>
      <c r="C311" s="27" t="s">
        <v>1247</v>
      </c>
      <c r="D311" s="28" t="s">
        <v>1046</v>
      </c>
      <c r="E311" s="29" t="s">
        <v>1047</v>
      </c>
      <c r="F311" s="29" t="s">
        <v>14</v>
      </c>
      <c r="G311" s="30">
        <v>38089</v>
      </c>
      <c r="H311" s="26" t="s">
        <v>49</v>
      </c>
      <c r="I311" s="26" t="s">
        <v>110</v>
      </c>
      <c r="J311" s="26" t="s">
        <v>110</v>
      </c>
      <c r="K311" s="26">
        <v>51991</v>
      </c>
      <c r="L311" s="31" t="s">
        <v>1957</v>
      </c>
      <c r="M311" s="26">
        <v>5462</v>
      </c>
      <c r="N311" s="31" t="s">
        <v>1238</v>
      </c>
      <c r="O311" s="26">
        <v>3315994071</v>
      </c>
      <c r="P311" s="29" t="s">
        <v>2195</v>
      </c>
      <c r="Q311" s="31" t="s">
        <v>15</v>
      </c>
      <c r="R311" s="26">
        <v>5513972258</v>
      </c>
      <c r="S311" s="31" t="s">
        <v>2216</v>
      </c>
      <c r="T311" s="26" t="s">
        <v>2254</v>
      </c>
      <c r="U311" s="31" t="s">
        <v>2253</v>
      </c>
      <c r="V311" s="31" t="s">
        <v>1248</v>
      </c>
      <c r="W311" s="31" t="s">
        <v>1249</v>
      </c>
      <c r="X311" s="31" t="s">
        <v>99</v>
      </c>
      <c r="Y311" s="31">
        <v>76148</v>
      </c>
      <c r="Z311" s="31" t="s">
        <v>1208</v>
      </c>
      <c r="AA311" s="31" t="s">
        <v>1208</v>
      </c>
      <c r="AB311" s="31" t="s">
        <v>1250</v>
      </c>
      <c r="AC311" s="31">
        <v>4422344257</v>
      </c>
      <c r="AD311" s="31">
        <v>4422344262</v>
      </c>
    </row>
    <row r="312" spans="1:30" x14ac:dyDescent="0.2">
      <c r="A312" s="26">
        <v>11486</v>
      </c>
      <c r="B312" s="26">
        <f>VLOOKUP(A312,Hoja1!A:A,1,FALSE)</f>
        <v>11486</v>
      </c>
      <c r="C312" s="27" t="s">
        <v>1251</v>
      </c>
      <c r="D312" s="28" t="s">
        <v>1046</v>
      </c>
      <c r="E312" s="29" t="s">
        <v>1047</v>
      </c>
      <c r="F312" s="29" t="s">
        <v>14</v>
      </c>
      <c r="G312" s="30">
        <v>38796</v>
      </c>
      <c r="H312" s="26" t="s">
        <v>49</v>
      </c>
      <c r="I312" s="26" t="s">
        <v>110</v>
      </c>
      <c r="J312" s="26" t="s">
        <v>110</v>
      </c>
      <c r="K312" s="26">
        <v>118644</v>
      </c>
      <c r="L312" s="31" t="s">
        <v>1252</v>
      </c>
      <c r="M312" s="26">
        <v>5462</v>
      </c>
      <c r="N312" s="31" t="s">
        <v>1238</v>
      </c>
      <c r="O312" s="26">
        <v>3315994071</v>
      </c>
      <c r="P312" s="29" t="s">
        <v>2195</v>
      </c>
      <c r="Q312" s="31" t="s">
        <v>15</v>
      </c>
      <c r="R312" s="26">
        <v>5513972258</v>
      </c>
      <c r="S312" s="31" t="s">
        <v>2216</v>
      </c>
      <c r="T312" s="26" t="s">
        <v>2254</v>
      </c>
      <c r="U312" s="31" t="s">
        <v>2253</v>
      </c>
      <c r="V312" s="31" t="s">
        <v>1253</v>
      </c>
      <c r="W312" s="31" t="s">
        <v>1254</v>
      </c>
      <c r="X312" s="31" t="s">
        <v>99</v>
      </c>
      <c r="Y312" s="31">
        <v>76230</v>
      </c>
      <c r="Z312" s="31" t="s">
        <v>1251</v>
      </c>
      <c r="AA312" s="31" t="s">
        <v>1208</v>
      </c>
      <c r="AB312" s="31" t="s">
        <v>1255</v>
      </c>
      <c r="AC312" s="31">
        <v>4422343181</v>
      </c>
      <c r="AD312" s="31">
        <v>4422343161</v>
      </c>
    </row>
    <row r="313" spans="1:30" x14ac:dyDescent="0.2">
      <c r="A313" s="26">
        <v>11615</v>
      </c>
      <c r="B313" s="26">
        <f>VLOOKUP(A313,Hoja1!A:A,1,FALSE)</f>
        <v>11615</v>
      </c>
      <c r="C313" s="27" t="s">
        <v>1256</v>
      </c>
      <c r="D313" s="28" t="s">
        <v>1046</v>
      </c>
      <c r="E313" s="29" t="s">
        <v>1047</v>
      </c>
      <c r="F313" s="29" t="s">
        <v>14</v>
      </c>
      <c r="G313" s="30">
        <v>42730</v>
      </c>
      <c r="H313" s="26" t="s">
        <v>49</v>
      </c>
      <c r="I313" s="26" t="s">
        <v>110</v>
      </c>
      <c r="J313" s="26" t="s">
        <v>110</v>
      </c>
      <c r="K313" s="26">
        <v>4986</v>
      </c>
      <c r="L313" s="31" t="s">
        <v>1257</v>
      </c>
      <c r="M313" s="26">
        <v>5462</v>
      </c>
      <c r="N313" s="31" t="s">
        <v>1238</v>
      </c>
      <c r="O313" s="26">
        <v>3315994071</v>
      </c>
      <c r="P313" s="29" t="s">
        <v>2195</v>
      </c>
      <c r="Q313" s="31" t="s">
        <v>15</v>
      </c>
      <c r="R313" s="26">
        <v>5513972258</v>
      </c>
      <c r="S313" s="31" t="s">
        <v>2216</v>
      </c>
      <c r="T313" s="26" t="s">
        <v>2254</v>
      </c>
      <c r="U313" s="31" t="s">
        <v>2253</v>
      </c>
      <c r="V313" s="31" t="s">
        <v>1258</v>
      </c>
      <c r="W313" s="31" t="s">
        <v>1259</v>
      </c>
      <c r="X313" s="31" t="s">
        <v>99</v>
      </c>
      <c r="Y313" s="31">
        <v>76146</v>
      </c>
      <c r="Z313" s="31" t="s">
        <v>1208</v>
      </c>
      <c r="AA313" s="31" t="s">
        <v>1208</v>
      </c>
      <c r="AB313" s="31" t="s">
        <v>1260</v>
      </c>
      <c r="AC313" s="31">
        <v>4422469242</v>
      </c>
      <c r="AD313" s="31">
        <v>4422469242</v>
      </c>
    </row>
    <row r="314" spans="1:30" x14ac:dyDescent="0.2">
      <c r="A314" s="26">
        <v>11942</v>
      </c>
      <c r="B314" s="26">
        <f>VLOOKUP(A314,Hoja1!A:A,1,FALSE)</f>
        <v>11942</v>
      </c>
      <c r="C314" s="27" t="s">
        <v>1261</v>
      </c>
      <c r="D314" s="28" t="s">
        <v>1046</v>
      </c>
      <c r="E314" s="29" t="s">
        <v>1047</v>
      </c>
      <c r="F314" s="29" t="s">
        <v>14</v>
      </c>
      <c r="G314" s="30">
        <v>41637</v>
      </c>
      <c r="H314" s="26" t="s">
        <v>49</v>
      </c>
      <c r="I314" s="26" t="s">
        <v>50</v>
      </c>
      <c r="J314" s="26" t="s">
        <v>153</v>
      </c>
      <c r="K314" s="26">
        <v>51271</v>
      </c>
      <c r="L314" s="31" t="s">
        <v>1054</v>
      </c>
      <c r="M314" s="26">
        <v>5462</v>
      </c>
      <c r="N314" s="31" t="s">
        <v>1238</v>
      </c>
      <c r="O314" s="26">
        <v>3315994071</v>
      </c>
      <c r="P314" s="29" t="s">
        <v>2195</v>
      </c>
      <c r="Q314" s="31" t="s">
        <v>15</v>
      </c>
      <c r="R314" s="26">
        <v>5513972258</v>
      </c>
      <c r="S314" s="31" t="s">
        <v>2216</v>
      </c>
      <c r="T314" s="26" t="s">
        <v>2254</v>
      </c>
      <c r="U314" s="31" t="s">
        <v>2253</v>
      </c>
      <c r="V314" s="31" t="s">
        <v>1262</v>
      </c>
      <c r="W314" s="31" t="s">
        <v>1263</v>
      </c>
      <c r="X314" s="31" t="s">
        <v>99</v>
      </c>
      <c r="Y314" s="31">
        <v>76127</v>
      </c>
      <c r="Z314" s="31" t="s">
        <v>1208</v>
      </c>
      <c r="AA314" s="31" t="s">
        <v>1208</v>
      </c>
      <c r="AB314" s="31" t="s">
        <v>1264</v>
      </c>
      <c r="AC314" s="31">
        <v>4426880543</v>
      </c>
      <c r="AD314" s="31">
        <v>4426880543</v>
      </c>
    </row>
    <row r="315" spans="1:30" x14ac:dyDescent="0.2">
      <c r="A315" s="26">
        <v>12348</v>
      </c>
      <c r="B315" s="26">
        <f>VLOOKUP(A315,Hoja1!A:A,1,FALSE)</f>
        <v>12348</v>
      </c>
      <c r="C315" s="27" t="s">
        <v>1265</v>
      </c>
      <c r="D315" s="28" t="s">
        <v>1046</v>
      </c>
      <c r="E315" s="29" t="s">
        <v>1047</v>
      </c>
      <c r="F315" s="29" t="s">
        <v>14</v>
      </c>
      <c r="G315" s="30">
        <v>43455</v>
      </c>
      <c r="H315" s="26" t="s">
        <v>49</v>
      </c>
      <c r="I315" s="26" t="s">
        <v>110</v>
      </c>
      <c r="J315" s="26" t="s">
        <v>110</v>
      </c>
      <c r="K315" s="26">
        <v>129486</v>
      </c>
      <c r="L315" s="31" t="s">
        <v>1266</v>
      </c>
      <c r="M315" s="26">
        <v>5462</v>
      </c>
      <c r="N315" s="31" t="s">
        <v>1238</v>
      </c>
      <c r="O315" s="26">
        <v>3315994071</v>
      </c>
      <c r="P315" s="29" t="s">
        <v>2195</v>
      </c>
      <c r="Q315" s="31" t="s">
        <v>15</v>
      </c>
      <c r="R315" s="26">
        <v>5513972258</v>
      </c>
      <c r="S315" s="31" t="s">
        <v>2216</v>
      </c>
      <c r="T315" s="26" t="s">
        <v>2254</v>
      </c>
      <c r="U315" s="31" t="s">
        <v>2253</v>
      </c>
      <c r="V315" s="31" t="s">
        <v>2155</v>
      </c>
      <c r="W315" s="31" t="s">
        <v>1267</v>
      </c>
      <c r="X315" s="31" t="s">
        <v>99</v>
      </c>
      <c r="Y315" s="31">
        <v>76060</v>
      </c>
      <c r="Z315" s="31" t="s">
        <v>1208</v>
      </c>
      <c r="AA315" s="31" t="s">
        <v>1208</v>
      </c>
      <c r="AB315" s="31" t="s">
        <v>1268</v>
      </c>
      <c r="AC315" s="31">
        <v>4424560110</v>
      </c>
      <c r="AD315" s="31">
        <v>4424560110</v>
      </c>
    </row>
    <row r="316" spans="1:30" x14ac:dyDescent="0.2">
      <c r="A316" s="15">
        <v>12385</v>
      </c>
      <c r="B316" s="26" t="e">
        <f>VLOOKUP(A316,Hoja1!A:A,1,FALSE)</f>
        <v>#N/A</v>
      </c>
      <c r="C316" s="13" t="s">
        <v>2239</v>
      </c>
      <c r="D316" s="35" t="s">
        <v>1046</v>
      </c>
      <c r="E316" s="13" t="s">
        <v>1047</v>
      </c>
      <c r="F316" s="33" t="s">
        <v>14</v>
      </c>
      <c r="G316" s="34">
        <v>43819</v>
      </c>
      <c r="H316" s="15" t="s">
        <v>49</v>
      </c>
      <c r="I316" s="15" t="s">
        <v>110</v>
      </c>
      <c r="J316" s="15" t="s">
        <v>110</v>
      </c>
      <c r="K316" s="26">
        <v>50183</v>
      </c>
      <c r="L316" s="31" t="s">
        <v>2242</v>
      </c>
      <c r="M316" s="26">
        <v>5462</v>
      </c>
      <c r="N316" s="31" t="s">
        <v>1238</v>
      </c>
      <c r="O316" s="26">
        <v>3315994071</v>
      </c>
      <c r="P316" s="29" t="s">
        <v>2195</v>
      </c>
      <c r="Q316" s="16" t="s">
        <v>15</v>
      </c>
      <c r="R316" s="26">
        <v>5513972258</v>
      </c>
      <c r="S316" s="31" t="s">
        <v>2216</v>
      </c>
      <c r="T316" s="26" t="s">
        <v>2254</v>
      </c>
      <c r="U316" s="31" t="s">
        <v>2253</v>
      </c>
      <c r="V316" s="13" t="s">
        <v>2243</v>
      </c>
      <c r="W316" s="31" t="s">
        <v>89</v>
      </c>
      <c r="X316" s="31" t="s">
        <v>99</v>
      </c>
      <c r="Y316" s="31">
        <v>76000</v>
      </c>
      <c r="Z316" s="31" t="s">
        <v>1208</v>
      </c>
      <c r="AA316" s="31" t="s">
        <v>1208</v>
      </c>
      <c r="AB316" s="31" t="s">
        <v>2244</v>
      </c>
      <c r="AC316" s="31" t="s">
        <v>99</v>
      </c>
      <c r="AD316" s="16">
        <v>4424560116</v>
      </c>
    </row>
    <row r="317" spans="1:30" x14ac:dyDescent="0.2">
      <c r="A317" s="26">
        <v>11008</v>
      </c>
      <c r="B317" s="26">
        <f>VLOOKUP(A317,Hoja1!A:A,1,FALSE)</f>
        <v>11008</v>
      </c>
      <c r="C317" s="27" t="s">
        <v>1269</v>
      </c>
      <c r="D317" s="28" t="s">
        <v>948</v>
      </c>
      <c r="E317" s="29" t="s">
        <v>949</v>
      </c>
      <c r="F317" s="29" t="s">
        <v>14</v>
      </c>
      <c r="G317" s="30">
        <v>32999</v>
      </c>
      <c r="H317" s="26" t="s">
        <v>49</v>
      </c>
      <c r="I317" s="26" t="s">
        <v>110</v>
      </c>
      <c r="J317" s="26" t="s">
        <v>110</v>
      </c>
      <c r="K317" s="26" t="s">
        <v>395</v>
      </c>
      <c r="L317" s="31" t="s">
        <v>395</v>
      </c>
      <c r="M317" s="26">
        <v>5178</v>
      </c>
      <c r="N317" s="31" t="s">
        <v>1271</v>
      </c>
      <c r="O317" s="26">
        <v>3313447930</v>
      </c>
      <c r="P317" s="29" t="s">
        <v>2196</v>
      </c>
      <c r="Q317" s="31" t="s">
        <v>15</v>
      </c>
      <c r="R317" s="26">
        <v>5513972258</v>
      </c>
      <c r="S317" s="31" t="s">
        <v>2216</v>
      </c>
      <c r="T317" s="26" t="s">
        <v>2254</v>
      </c>
      <c r="U317" s="31" t="s">
        <v>2253</v>
      </c>
      <c r="V317" s="31" t="s">
        <v>1272</v>
      </c>
      <c r="W317" s="31" t="s">
        <v>1273</v>
      </c>
      <c r="X317" s="31" t="s">
        <v>99</v>
      </c>
      <c r="Y317" s="31">
        <v>45000</v>
      </c>
      <c r="Z317" s="31" t="s">
        <v>954</v>
      </c>
      <c r="AA317" s="31" t="s">
        <v>955</v>
      </c>
      <c r="AB317" s="31" t="s">
        <v>1274</v>
      </c>
      <c r="AC317" s="31">
        <v>3320053063</v>
      </c>
      <c r="AD317" s="31">
        <v>3336478688</v>
      </c>
    </row>
    <row r="318" spans="1:30" x14ac:dyDescent="0.2">
      <c r="A318" s="26">
        <v>11020</v>
      </c>
      <c r="B318" s="26">
        <f>VLOOKUP(A318,Hoja1!A:A,1,FALSE)</f>
        <v>11020</v>
      </c>
      <c r="C318" s="27" t="s">
        <v>1275</v>
      </c>
      <c r="D318" s="28" t="s">
        <v>948</v>
      </c>
      <c r="E318" s="29" t="s">
        <v>949</v>
      </c>
      <c r="F318" s="29" t="s">
        <v>14</v>
      </c>
      <c r="G318" s="30">
        <v>33259</v>
      </c>
      <c r="H318" s="26" t="s">
        <v>49</v>
      </c>
      <c r="I318" s="26" t="s">
        <v>110</v>
      </c>
      <c r="J318" s="26" t="s">
        <v>110</v>
      </c>
      <c r="K318" s="26">
        <v>31559</v>
      </c>
      <c r="L318" s="31" t="s">
        <v>1270</v>
      </c>
      <c r="M318" s="26">
        <v>5178</v>
      </c>
      <c r="N318" s="31" t="s">
        <v>1271</v>
      </c>
      <c r="O318" s="26">
        <v>3313447930</v>
      </c>
      <c r="P318" s="29" t="s">
        <v>2196</v>
      </c>
      <c r="Q318" s="31" t="s">
        <v>15</v>
      </c>
      <c r="R318" s="26">
        <v>5513972258</v>
      </c>
      <c r="S318" s="31" t="s">
        <v>2216</v>
      </c>
      <c r="T318" s="26" t="s">
        <v>2254</v>
      </c>
      <c r="U318" s="31" t="s">
        <v>2253</v>
      </c>
      <c r="V318" s="31" t="s">
        <v>1276</v>
      </c>
      <c r="W318" s="31" t="s">
        <v>1277</v>
      </c>
      <c r="X318" s="31" t="s">
        <v>99</v>
      </c>
      <c r="Y318" s="31">
        <v>44630</v>
      </c>
      <c r="Z318" s="31" t="s">
        <v>954</v>
      </c>
      <c r="AA318" s="31" t="s">
        <v>955</v>
      </c>
      <c r="AB318" s="31" t="s">
        <v>1278</v>
      </c>
      <c r="AC318" s="31">
        <v>3336404807</v>
      </c>
      <c r="AD318" s="31">
        <v>3336420057</v>
      </c>
    </row>
    <row r="319" spans="1:30" x14ac:dyDescent="0.2">
      <c r="A319" s="26">
        <v>11035</v>
      </c>
      <c r="B319" s="26">
        <f>VLOOKUP(A319,Hoja1!A:A,1,FALSE)</f>
        <v>11035</v>
      </c>
      <c r="C319" s="27" t="s">
        <v>1279</v>
      </c>
      <c r="D319" s="28" t="s">
        <v>948</v>
      </c>
      <c r="E319" s="29" t="s">
        <v>949</v>
      </c>
      <c r="F319" s="29" t="s">
        <v>14</v>
      </c>
      <c r="G319" s="30">
        <v>33485</v>
      </c>
      <c r="H319" s="26" t="s">
        <v>49</v>
      </c>
      <c r="I319" s="26" t="s">
        <v>110</v>
      </c>
      <c r="J319" s="26" t="s">
        <v>110</v>
      </c>
      <c r="K319" s="26">
        <v>33991</v>
      </c>
      <c r="L319" s="31" t="s">
        <v>1280</v>
      </c>
      <c r="M319" s="26">
        <v>5178</v>
      </c>
      <c r="N319" s="31" t="s">
        <v>1271</v>
      </c>
      <c r="O319" s="26">
        <v>3313447930</v>
      </c>
      <c r="P319" s="29" t="s">
        <v>2196</v>
      </c>
      <c r="Q319" s="31" t="s">
        <v>15</v>
      </c>
      <c r="R319" s="26">
        <v>5513972258</v>
      </c>
      <c r="S319" s="31" t="s">
        <v>2216</v>
      </c>
      <c r="T319" s="26" t="s">
        <v>2254</v>
      </c>
      <c r="U319" s="31" t="s">
        <v>2253</v>
      </c>
      <c r="V319" s="31" t="s">
        <v>1281</v>
      </c>
      <c r="W319" s="31" t="s">
        <v>1282</v>
      </c>
      <c r="X319" s="31" t="s">
        <v>99</v>
      </c>
      <c r="Y319" s="31">
        <v>44580</v>
      </c>
      <c r="Z319" s="31" t="s">
        <v>954</v>
      </c>
      <c r="AA319" s="31" t="s">
        <v>955</v>
      </c>
      <c r="AB319" s="31" t="s">
        <v>1283</v>
      </c>
      <c r="AC319" s="31">
        <v>3331333574</v>
      </c>
      <c r="AD319" s="31">
        <v>3336341301</v>
      </c>
    </row>
    <row r="320" spans="1:30" x14ac:dyDescent="0.2">
      <c r="A320" s="26">
        <v>11195</v>
      </c>
      <c r="B320" s="26">
        <f>VLOOKUP(A320,Hoja1!A:A,1,FALSE)</f>
        <v>11195</v>
      </c>
      <c r="C320" s="27" t="s">
        <v>1284</v>
      </c>
      <c r="D320" s="28" t="s">
        <v>948</v>
      </c>
      <c r="E320" s="29" t="s">
        <v>949</v>
      </c>
      <c r="F320" s="29" t="s">
        <v>14</v>
      </c>
      <c r="G320" s="30">
        <v>36003</v>
      </c>
      <c r="H320" s="26" t="s">
        <v>49</v>
      </c>
      <c r="I320" s="26" t="s">
        <v>110</v>
      </c>
      <c r="J320" s="26" t="s">
        <v>110</v>
      </c>
      <c r="K320" s="26">
        <v>32980</v>
      </c>
      <c r="L320" s="31" t="s">
        <v>1285</v>
      </c>
      <c r="M320" s="26">
        <v>5178</v>
      </c>
      <c r="N320" s="31" t="s">
        <v>1271</v>
      </c>
      <c r="O320" s="26">
        <v>3313447930</v>
      </c>
      <c r="P320" s="29" t="s">
        <v>2196</v>
      </c>
      <c r="Q320" s="31" t="s">
        <v>15</v>
      </c>
      <c r="R320" s="26">
        <v>5513972258</v>
      </c>
      <c r="S320" s="31" t="s">
        <v>2216</v>
      </c>
      <c r="T320" s="26" t="s">
        <v>2254</v>
      </c>
      <c r="U320" s="31" t="s">
        <v>2253</v>
      </c>
      <c r="V320" s="31" t="s">
        <v>1286</v>
      </c>
      <c r="W320" s="31" t="s">
        <v>1287</v>
      </c>
      <c r="X320" s="31" t="s">
        <v>99</v>
      </c>
      <c r="Y320" s="31">
        <v>63100</v>
      </c>
      <c r="Z320" s="31" t="s">
        <v>1288</v>
      </c>
      <c r="AA320" s="31" t="s">
        <v>1182</v>
      </c>
      <c r="AB320" s="31" t="s">
        <v>1289</v>
      </c>
      <c r="AC320" s="31">
        <v>3112165888</v>
      </c>
      <c r="AD320" s="31">
        <v>3112162161</v>
      </c>
    </row>
    <row r="321" spans="1:30" x14ac:dyDescent="0.2">
      <c r="A321" s="26">
        <v>11237</v>
      </c>
      <c r="B321" s="26">
        <f>VLOOKUP(A321,Hoja1!A:A,1,FALSE)</f>
        <v>11237</v>
      </c>
      <c r="C321" s="27" t="s">
        <v>1290</v>
      </c>
      <c r="D321" s="28" t="s">
        <v>948</v>
      </c>
      <c r="E321" s="29" t="s">
        <v>949</v>
      </c>
      <c r="F321" s="29" t="s">
        <v>14</v>
      </c>
      <c r="G321" s="30">
        <v>36444</v>
      </c>
      <c r="H321" s="26" t="s">
        <v>49</v>
      </c>
      <c r="I321" s="26" t="s">
        <v>110</v>
      </c>
      <c r="J321" s="26" t="s">
        <v>110</v>
      </c>
      <c r="K321" s="26">
        <v>44775</v>
      </c>
      <c r="L321" s="31" t="s">
        <v>2454</v>
      </c>
      <c r="M321" s="26">
        <v>5178</v>
      </c>
      <c r="N321" s="31" t="s">
        <v>1271</v>
      </c>
      <c r="O321" s="26">
        <v>3313447930</v>
      </c>
      <c r="P321" s="29" t="s">
        <v>2196</v>
      </c>
      <c r="Q321" s="31" t="s">
        <v>15</v>
      </c>
      <c r="R321" s="26">
        <v>5513972258</v>
      </c>
      <c r="S321" s="31" t="s">
        <v>2216</v>
      </c>
      <c r="T321" s="26" t="s">
        <v>2254</v>
      </c>
      <c r="U321" s="31" t="s">
        <v>2253</v>
      </c>
      <c r="V321" s="31" t="s">
        <v>1291</v>
      </c>
      <c r="W321" s="31" t="s">
        <v>1292</v>
      </c>
      <c r="X321" s="31" t="s">
        <v>99</v>
      </c>
      <c r="Y321" s="31">
        <v>45020</v>
      </c>
      <c r="Z321" s="31" t="s">
        <v>1044</v>
      </c>
      <c r="AA321" s="31" t="s">
        <v>955</v>
      </c>
      <c r="AB321" s="31" t="s">
        <v>1293</v>
      </c>
      <c r="AC321" s="31">
        <v>3336736812</v>
      </c>
      <c r="AD321" s="31">
        <v>3336735585</v>
      </c>
    </row>
    <row r="322" spans="1:30" x14ac:dyDescent="0.2">
      <c r="A322" s="26">
        <v>11295</v>
      </c>
      <c r="B322" s="26">
        <f>VLOOKUP(A322,Hoja1!A:A,1,FALSE)</f>
        <v>11295</v>
      </c>
      <c r="C322" s="27" t="s">
        <v>1294</v>
      </c>
      <c r="D322" s="28" t="s">
        <v>948</v>
      </c>
      <c r="E322" s="29" t="s">
        <v>949</v>
      </c>
      <c r="F322" s="29" t="s">
        <v>14</v>
      </c>
      <c r="G322" s="30">
        <v>36535</v>
      </c>
      <c r="H322" s="26" t="s">
        <v>49</v>
      </c>
      <c r="I322" s="26" t="s">
        <v>110</v>
      </c>
      <c r="J322" s="26" t="s">
        <v>110</v>
      </c>
      <c r="K322" s="26">
        <v>116735</v>
      </c>
      <c r="L322" s="31" t="s">
        <v>2455</v>
      </c>
      <c r="M322" s="26">
        <v>5178</v>
      </c>
      <c r="N322" s="31" t="s">
        <v>1271</v>
      </c>
      <c r="O322" s="26">
        <v>3313447930</v>
      </c>
      <c r="P322" s="29" t="s">
        <v>2196</v>
      </c>
      <c r="Q322" s="31" t="s">
        <v>15</v>
      </c>
      <c r="R322" s="26">
        <v>5513972258</v>
      </c>
      <c r="S322" s="31" t="s">
        <v>2216</v>
      </c>
      <c r="T322" s="26" t="s">
        <v>2254</v>
      </c>
      <c r="U322" s="31" t="s">
        <v>2253</v>
      </c>
      <c r="V322" s="31" t="s">
        <v>1296</v>
      </c>
      <c r="W322" s="31" t="s">
        <v>465</v>
      </c>
      <c r="X322" s="31" t="s">
        <v>99</v>
      </c>
      <c r="Y322" s="31">
        <v>45070</v>
      </c>
      <c r="Z322" s="31" t="s">
        <v>954</v>
      </c>
      <c r="AA322" s="31" t="s">
        <v>955</v>
      </c>
      <c r="AB322" s="31" t="s">
        <v>1297</v>
      </c>
      <c r="AC322" s="31">
        <v>3331331931</v>
      </c>
      <c r="AD322" s="31">
        <v>3336316231</v>
      </c>
    </row>
    <row r="323" spans="1:30" x14ac:dyDescent="0.2">
      <c r="A323" s="26">
        <v>11558</v>
      </c>
      <c r="B323" s="26">
        <f>VLOOKUP(A323,Hoja1!A:A,1,FALSE)</f>
        <v>11558</v>
      </c>
      <c r="C323" s="27" t="s">
        <v>1298</v>
      </c>
      <c r="D323" s="28" t="s">
        <v>948</v>
      </c>
      <c r="E323" s="29" t="s">
        <v>949</v>
      </c>
      <c r="F323" s="29" t="s">
        <v>14</v>
      </c>
      <c r="G323" s="30">
        <v>41861</v>
      </c>
      <c r="H323" s="26" t="s">
        <v>49</v>
      </c>
      <c r="I323" s="26" t="s">
        <v>110</v>
      </c>
      <c r="J323" s="26" t="s">
        <v>110</v>
      </c>
      <c r="K323" s="26">
        <v>32967</v>
      </c>
      <c r="L323" s="31" t="s">
        <v>1299</v>
      </c>
      <c r="M323" s="26">
        <v>5178</v>
      </c>
      <c r="N323" s="31" t="s">
        <v>1271</v>
      </c>
      <c r="O323" s="26">
        <v>3313447930</v>
      </c>
      <c r="P323" s="29" t="s">
        <v>2196</v>
      </c>
      <c r="Q323" s="31" t="s">
        <v>15</v>
      </c>
      <c r="R323" s="26">
        <v>5513972258</v>
      </c>
      <c r="S323" s="31" t="s">
        <v>2216</v>
      </c>
      <c r="T323" s="26" t="s">
        <v>2254</v>
      </c>
      <c r="U323" s="31" t="s">
        <v>2253</v>
      </c>
      <c r="V323" s="31" t="s">
        <v>1300</v>
      </c>
      <c r="W323" s="31" t="s">
        <v>1301</v>
      </c>
      <c r="X323" s="31" t="s">
        <v>99</v>
      </c>
      <c r="Y323" s="31">
        <v>63150</v>
      </c>
      <c r="Z323" s="31" t="s">
        <v>1288</v>
      </c>
      <c r="AA323" s="31" t="s">
        <v>1182</v>
      </c>
      <c r="AB323" s="31" t="s">
        <v>1302</v>
      </c>
      <c r="AC323" s="31">
        <v>3112104580</v>
      </c>
      <c r="AD323" s="31">
        <v>3112104580</v>
      </c>
    </row>
    <row r="324" spans="1:30" x14ac:dyDescent="0.2">
      <c r="A324" s="26">
        <v>11612</v>
      </c>
      <c r="B324" s="26">
        <f>VLOOKUP(A324,Hoja1!A:A,1,FALSE)</f>
        <v>11612</v>
      </c>
      <c r="C324" s="27" t="s">
        <v>1303</v>
      </c>
      <c r="D324" s="28" t="s">
        <v>948</v>
      </c>
      <c r="E324" s="29" t="s">
        <v>949</v>
      </c>
      <c r="F324" s="29" t="s">
        <v>14</v>
      </c>
      <c r="G324" s="30">
        <v>42730</v>
      </c>
      <c r="H324" s="26" t="s">
        <v>49</v>
      </c>
      <c r="I324" s="26" t="s">
        <v>110</v>
      </c>
      <c r="J324" s="26" t="s">
        <v>110</v>
      </c>
      <c r="K324" s="26">
        <v>33923</v>
      </c>
      <c r="L324" s="31" t="s">
        <v>2115</v>
      </c>
      <c r="M324" s="26">
        <v>5178</v>
      </c>
      <c r="N324" s="31" t="s">
        <v>1271</v>
      </c>
      <c r="O324" s="26">
        <v>3313447930</v>
      </c>
      <c r="P324" s="29" t="s">
        <v>2196</v>
      </c>
      <c r="Q324" s="31" t="s">
        <v>15</v>
      </c>
      <c r="R324" s="26">
        <v>5513972258</v>
      </c>
      <c r="S324" s="31" t="s">
        <v>2216</v>
      </c>
      <c r="T324" s="26" t="s">
        <v>2254</v>
      </c>
      <c r="U324" s="31" t="s">
        <v>2253</v>
      </c>
      <c r="V324" s="31" t="s">
        <v>1304</v>
      </c>
      <c r="W324" s="31" t="s">
        <v>1305</v>
      </c>
      <c r="X324" s="31" t="s">
        <v>99</v>
      </c>
      <c r="Y324" s="31">
        <v>45037</v>
      </c>
      <c r="Z324" s="31" t="s">
        <v>1044</v>
      </c>
      <c r="AA324" s="31" t="s">
        <v>955</v>
      </c>
      <c r="AB324" s="31" t="s">
        <v>1306</v>
      </c>
      <c r="AC324" s="31">
        <v>3331094687</v>
      </c>
      <c r="AD324" s="31">
        <v>3331094100</v>
      </c>
    </row>
    <row r="325" spans="1:30" x14ac:dyDescent="0.2">
      <c r="A325" s="26">
        <v>11810</v>
      </c>
      <c r="B325" s="26">
        <f>VLOOKUP(A325,Hoja1!A:A,1,FALSE)</f>
        <v>11810</v>
      </c>
      <c r="C325" s="27" t="s">
        <v>1307</v>
      </c>
      <c r="D325" s="28" t="s">
        <v>948</v>
      </c>
      <c r="E325" s="29" t="s">
        <v>949</v>
      </c>
      <c r="F325" s="29" t="s">
        <v>14</v>
      </c>
      <c r="G325" s="30">
        <v>37408</v>
      </c>
      <c r="H325" s="26" t="s">
        <v>49</v>
      </c>
      <c r="I325" s="26" t="s">
        <v>50</v>
      </c>
      <c r="J325" s="26" t="s">
        <v>153</v>
      </c>
      <c r="K325" s="26">
        <v>33240</v>
      </c>
      <c r="L325" s="31" t="s">
        <v>2116</v>
      </c>
      <c r="M325" s="26">
        <v>5178</v>
      </c>
      <c r="N325" s="31" t="s">
        <v>1271</v>
      </c>
      <c r="O325" s="26">
        <v>3313447930</v>
      </c>
      <c r="P325" s="29" t="s">
        <v>2196</v>
      </c>
      <c r="Q325" s="31" t="s">
        <v>15</v>
      </c>
      <c r="R325" s="26">
        <v>5513972258</v>
      </c>
      <c r="S325" s="31" t="s">
        <v>2216</v>
      </c>
      <c r="T325" s="26" t="s">
        <v>2254</v>
      </c>
      <c r="U325" s="31" t="s">
        <v>2253</v>
      </c>
      <c r="V325" s="31" t="s">
        <v>1308</v>
      </c>
      <c r="W325" s="31" t="s">
        <v>1309</v>
      </c>
      <c r="X325" s="31" t="s">
        <v>99</v>
      </c>
      <c r="Y325" s="31">
        <v>45049</v>
      </c>
      <c r="Z325" s="31" t="s">
        <v>1044</v>
      </c>
      <c r="AA325" s="31" t="s">
        <v>955</v>
      </c>
      <c r="AB325" s="31" t="s">
        <v>1310</v>
      </c>
      <c r="AC325" s="31">
        <v>3331232380</v>
      </c>
      <c r="AD325" s="31">
        <v>3331232380</v>
      </c>
    </row>
    <row r="326" spans="1:30" x14ac:dyDescent="0.2">
      <c r="A326" s="26">
        <v>11854</v>
      </c>
      <c r="B326" s="26">
        <f>VLOOKUP(A326,Hoja1!A:A,1,FALSE)</f>
        <v>11854</v>
      </c>
      <c r="C326" s="27" t="s">
        <v>1311</v>
      </c>
      <c r="D326" s="28" t="s">
        <v>948</v>
      </c>
      <c r="E326" s="29" t="s">
        <v>949</v>
      </c>
      <c r="F326" s="29" t="s">
        <v>14</v>
      </c>
      <c r="G326" s="30">
        <v>37966</v>
      </c>
      <c r="H326" s="26" t="s">
        <v>49</v>
      </c>
      <c r="I326" s="26" t="s">
        <v>50</v>
      </c>
      <c r="J326" s="26" t="s">
        <v>153</v>
      </c>
      <c r="K326" s="26">
        <v>72664</v>
      </c>
      <c r="L326" s="31" t="s">
        <v>1312</v>
      </c>
      <c r="M326" s="26">
        <v>5178</v>
      </c>
      <c r="N326" s="31" t="s">
        <v>1271</v>
      </c>
      <c r="O326" s="26">
        <v>3313447930</v>
      </c>
      <c r="P326" s="29" t="s">
        <v>2196</v>
      </c>
      <c r="Q326" s="31" t="s">
        <v>15</v>
      </c>
      <c r="R326" s="26">
        <v>5513972258</v>
      </c>
      <c r="S326" s="31" t="s">
        <v>2216</v>
      </c>
      <c r="T326" s="26" t="s">
        <v>2254</v>
      </c>
      <c r="U326" s="31" t="s">
        <v>2253</v>
      </c>
      <c r="V326" s="31" t="s">
        <v>1313</v>
      </c>
      <c r="W326" s="31" t="s">
        <v>1314</v>
      </c>
      <c r="X326" s="31" t="s">
        <v>99</v>
      </c>
      <c r="Y326" s="31">
        <v>45138</v>
      </c>
      <c r="Z326" s="31" t="s">
        <v>1044</v>
      </c>
      <c r="AA326" s="31" t="s">
        <v>955</v>
      </c>
      <c r="AB326" s="31" t="s">
        <v>1315</v>
      </c>
      <c r="AC326" s="31">
        <v>3336738779</v>
      </c>
      <c r="AD326" s="31">
        <v>3336738779</v>
      </c>
    </row>
    <row r="327" spans="1:30" x14ac:dyDescent="0.2">
      <c r="A327" s="26">
        <v>11116</v>
      </c>
      <c r="B327" s="26">
        <f>VLOOKUP(A327,Hoja1!A:A,1,FALSE)</f>
        <v>11116</v>
      </c>
      <c r="C327" s="27" t="s">
        <v>1316</v>
      </c>
      <c r="D327" s="28" t="s">
        <v>948</v>
      </c>
      <c r="E327" s="29" t="s">
        <v>949</v>
      </c>
      <c r="F327" s="29" t="s">
        <v>14</v>
      </c>
      <c r="G327" s="30">
        <v>34400</v>
      </c>
      <c r="H327" s="26" t="s">
        <v>49</v>
      </c>
      <c r="I327" s="26" t="s">
        <v>110</v>
      </c>
      <c r="J327" s="26" t="s">
        <v>110</v>
      </c>
      <c r="K327" s="26">
        <v>34013</v>
      </c>
      <c r="L327" s="31" t="s">
        <v>1351</v>
      </c>
      <c r="M327" s="26">
        <v>6163</v>
      </c>
      <c r="N327" s="31" t="s">
        <v>1317</v>
      </c>
      <c r="O327" s="26">
        <v>3315333269</v>
      </c>
      <c r="P327" s="29" t="s">
        <v>2197</v>
      </c>
      <c r="Q327" s="31" t="s">
        <v>15</v>
      </c>
      <c r="R327" s="26">
        <v>5513972258</v>
      </c>
      <c r="S327" s="31" t="s">
        <v>2216</v>
      </c>
      <c r="T327" s="26" t="s">
        <v>2254</v>
      </c>
      <c r="U327" s="31" t="s">
        <v>2253</v>
      </c>
      <c r="V327" s="31" t="s">
        <v>1318</v>
      </c>
      <c r="W327" s="31" t="s">
        <v>1319</v>
      </c>
      <c r="X327" s="31" t="s">
        <v>99</v>
      </c>
      <c r="Y327" s="31">
        <v>44270</v>
      </c>
      <c r="Z327" s="31" t="s">
        <v>954</v>
      </c>
      <c r="AA327" s="31" t="s">
        <v>955</v>
      </c>
      <c r="AB327" s="31" t="s">
        <v>1320</v>
      </c>
      <c r="AC327" s="31">
        <v>3336144315</v>
      </c>
      <c r="AD327" s="31">
        <v>3336144502</v>
      </c>
    </row>
    <row r="328" spans="1:30" x14ac:dyDescent="0.2">
      <c r="A328" s="26">
        <v>11245</v>
      </c>
      <c r="B328" s="26">
        <f>VLOOKUP(A328,Hoja1!A:A,1,FALSE)</f>
        <v>11245</v>
      </c>
      <c r="C328" s="27" t="s">
        <v>1321</v>
      </c>
      <c r="D328" s="28" t="s">
        <v>948</v>
      </c>
      <c r="E328" s="29" t="s">
        <v>949</v>
      </c>
      <c r="F328" s="29" t="s">
        <v>14</v>
      </c>
      <c r="G328" s="30">
        <v>36374</v>
      </c>
      <c r="H328" s="26" t="s">
        <v>49</v>
      </c>
      <c r="I328" s="26" t="s">
        <v>110</v>
      </c>
      <c r="J328" s="26" t="s">
        <v>110</v>
      </c>
      <c r="K328" s="26">
        <v>33088</v>
      </c>
      <c r="L328" s="31" t="s">
        <v>1322</v>
      </c>
      <c r="M328" s="26">
        <v>6163</v>
      </c>
      <c r="N328" s="31" t="s">
        <v>1317</v>
      </c>
      <c r="O328" s="26">
        <v>3315333269</v>
      </c>
      <c r="P328" s="29" t="s">
        <v>2197</v>
      </c>
      <c r="Q328" s="31" t="s">
        <v>15</v>
      </c>
      <c r="R328" s="26">
        <v>5513972258</v>
      </c>
      <c r="S328" s="31" t="s">
        <v>2216</v>
      </c>
      <c r="T328" s="26" t="s">
        <v>2254</v>
      </c>
      <c r="U328" s="31" t="s">
        <v>2253</v>
      </c>
      <c r="V328" s="31" t="s">
        <v>1323</v>
      </c>
      <c r="W328" s="31" t="s">
        <v>1324</v>
      </c>
      <c r="X328" s="31" t="s">
        <v>99</v>
      </c>
      <c r="Y328" s="31">
        <v>45140</v>
      </c>
      <c r="Z328" s="31" t="s">
        <v>1044</v>
      </c>
      <c r="AA328" s="31" t="s">
        <v>955</v>
      </c>
      <c r="AB328" s="31" t="s">
        <v>1325</v>
      </c>
      <c r="AC328" s="31">
        <v>3323004922</v>
      </c>
      <c r="AD328" s="31">
        <v>3338324500</v>
      </c>
    </row>
    <row r="329" spans="1:30" x14ac:dyDescent="0.2">
      <c r="A329" s="26">
        <v>11292</v>
      </c>
      <c r="B329" s="26">
        <f>VLOOKUP(A329,Hoja1!A:A,1,FALSE)</f>
        <v>11292</v>
      </c>
      <c r="C329" s="27" t="s">
        <v>1326</v>
      </c>
      <c r="D329" s="28" t="s">
        <v>948</v>
      </c>
      <c r="E329" s="29" t="s">
        <v>949</v>
      </c>
      <c r="F329" s="29" t="s">
        <v>14</v>
      </c>
      <c r="G329" s="30">
        <v>36586</v>
      </c>
      <c r="H329" s="26" t="s">
        <v>49</v>
      </c>
      <c r="I329" s="26" t="s">
        <v>110</v>
      </c>
      <c r="J329" s="26" t="s">
        <v>110</v>
      </c>
      <c r="K329" s="26">
        <v>31523</v>
      </c>
      <c r="L329" s="31" t="s">
        <v>990</v>
      </c>
      <c r="M329" s="26">
        <v>6163</v>
      </c>
      <c r="N329" s="31" t="s">
        <v>1317</v>
      </c>
      <c r="O329" s="26">
        <v>3315333269</v>
      </c>
      <c r="P329" s="29" t="s">
        <v>2197</v>
      </c>
      <c r="Q329" s="31" t="s">
        <v>15</v>
      </c>
      <c r="R329" s="26">
        <v>5513972258</v>
      </c>
      <c r="S329" s="31" t="s">
        <v>2216</v>
      </c>
      <c r="T329" s="26" t="s">
        <v>2254</v>
      </c>
      <c r="U329" s="31" t="s">
        <v>2253</v>
      </c>
      <c r="V329" s="31" t="s">
        <v>1328</v>
      </c>
      <c r="W329" s="31" t="s">
        <v>1329</v>
      </c>
      <c r="X329" s="31" t="s">
        <v>99</v>
      </c>
      <c r="Y329" s="31">
        <v>44100</v>
      </c>
      <c r="Z329" s="31" t="s">
        <v>954</v>
      </c>
      <c r="AA329" s="31" t="s">
        <v>955</v>
      </c>
      <c r="AB329" s="31" t="s">
        <v>1330</v>
      </c>
      <c r="AC329" s="31">
        <v>3338271700</v>
      </c>
      <c r="AD329" s="31">
        <v>3338250303</v>
      </c>
    </row>
    <row r="330" spans="1:30" x14ac:dyDescent="0.2">
      <c r="A330" s="26">
        <v>11296</v>
      </c>
      <c r="B330" s="26">
        <f>VLOOKUP(A330,Hoja1!A:A,1,FALSE)</f>
        <v>11296</v>
      </c>
      <c r="C330" s="27" t="s">
        <v>1331</v>
      </c>
      <c r="D330" s="28" t="s">
        <v>948</v>
      </c>
      <c r="E330" s="29" t="s">
        <v>949</v>
      </c>
      <c r="F330" s="29" t="s">
        <v>14</v>
      </c>
      <c r="G330" s="30">
        <v>36867</v>
      </c>
      <c r="H330" s="26" t="s">
        <v>49</v>
      </c>
      <c r="I330" s="26" t="s">
        <v>110</v>
      </c>
      <c r="J330" s="26" t="s">
        <v>110</v>
      </c>
      <c r="K330" s="26">
        <v>33295</v>
      </c>
      <c r="L330" s="31" t="s">
        <v>1332</v>
      </c>
      <c r="M330" s="26">
        <v>6163</v>
      </c>
      <c r="N330" s="31" t="s">
        <v>1317</v>
      </c>
      <c r="O330" s="26">
        <v>3315333269</v>
      </c>
      <c r="P330" s="29" t="s">
        <v>2197</v>
      </c>
      <c r="Q330" s="31" t="s">
        <v>15</v>
      </c>
      <c r="R330" s="26">
        <v>5513972258</v>
      </c>
      <c r="S330" s="31" t="s">
        <v>2216</v>
      </c>
      <c r="T330" s="26" t="s">
        <v>2254</v>
      </c>
      <c r="U330" s="31" t="s">
        <v>2253</v>
      </c>
      <c r="V330" s="31" t="s">
        <v>1333</v>
      </c>
      <c r="W330" s="31" t="s">
        <v>984</v>
      </c>
      <c r="X330" s="31" t="s">
        <v>99</v>
      </c>
      <c r="Y330" s="31">
        <v>44290</v>
      </c>
      <c r="Z330" s="31" t="s">
        <v>954</v>
      </c>
      <c r="AA330" s="31" t="s">
        <v>955</v>
      </c>
      <c r="AB330" s="31" t="s">
        <v>1334</v>
      </c>
      <c r="AC330" s="31">
        <v>3336376158</v>
      </c>
      <c r="AD330" s="31">
        <v>3336515110</v>
      </c>
    </row>
    <row r="331" spans="1:30" x14ac:dyDescent="0.2">
      <c r="A331" s="26">
        <v>11318</v>
      </c>
      <c r="B331" s="26">
        <f>VLOOKUP(A331,Hoja1!A:A,1,FALSE)</f>
        <v>11318</v>
      </c>
      <c r="C331" s="27" t="s">
        <v>1335</v>
      </c>
      <c r="D331" s="28" t="s">
        <v>948</v>
      </c>
      <c r="E331" s="29" t="s">
        <v>949</v>
      </c>
      <c r="F331" s="29" t="s">
        <v>14</v>
      </c>
      <c r="G331" s="30">
        <v>37060</v>
      </c>
      <c r="H331" s="26" t="s">
        <v>49</v>
      </c>
      <c r="I331" s="26" t="s">
        <v>110</v>
      </c>
      <c r="J331" s="26" t="s">
        <v>110</v>
      </c>
      <c r="K331" s="26">
        <v>32643</v>
      </c>
      <c r="L331" s="31" t="s">
        <v>1336</v>
      </c>
      <c r="M331" s="26">
        <v>6163</v>
      </c>
      <c r="N331" s="31" t="s">
        <v>1317</v>
      </c>
      <c r="O331" s="26">
        <v>3315333269</v>
      </c>
      <c r="P331" s="29" t="s">
        <v>2197</v>
      </c>
      <c r="Q331" s="31" t="s">
        <v>15</v>
      </c>
      <c r="R331" s="26">
        <v>5513972258</v>
      </c>
      <c r="S331" s="31" t="s">
        <v>2216</v>
      </c>
      <c r="T331" s="26" t="s">
        <v>2254</v>
      </c>
      <c r="U331" s="31" t="s">
        <v>2253</v>
      </c>
      <c r="V331" s="31" t="s">
        <v>1337</v>
      </c>
      <c r="W331" s="31" t="s">
        <v>1338</v>
      </c>
      <c r="X331" s="31" t="s">
        <v>99</v>
      </c>
      <c r="Y331" s="31">
        <v>45170</v>
      </c>
      <c r="Z331" s="31" t="s">
        <v>954</v>
      </c>
      <c r="AA331" s="31" t="s">
        <v>955</v>
      </c>
      <c r="AB331" s="31" t="s">
        <v>1339</v>
      </c>
      <c r="AC331" s="31">
        <v>3320057013</v>
      </c>
      <c r="AD331" s="31">
        <v>3338333878</v>
      </c>
    </row>
    <row r="332" spans="1:30" x14ac:dyDescent="0.2">
      <c r="A332" s="26">
        <v>11359</v>
      </c>
      <c r="B332" s="26">
        <f>VLOOKUP(A332,Hoja1!A:A,1,FALSE)</f>
        <v>11359</v>
      </c>
      <c r="C332" s="27" t="s">
        <v>1340</v>
      </c>
      <c r="D332" s="28" t="s">
        <v>948</v>
      </c>
      <c r="E332" s="29" t="s">
        <v>949</v>
      </c>
      <c r="F332" s="29" t="s">
        <v>14</v>
      </c>
      <c r="G332" s="30">
        <v>37237</v>
      </c>
      <c r="H332" s="26" t="s">
        <v>49</v>
      </c>
      <c r="I332" s="26" t="s">
        <v>110</v>
      </c>
      <c r="J332" s="26" t="s">
        <v>110</v>
      </c>
      <c r="K332" s="26">
        <v>34023</v>
      </c>
      <c r="L332" s="31" t="s">
        <v>1341</v>
      </c>
      <c r="M332" s="26">
        <v>6163</v>
      </c>
      <c r="N332" s="31" t="s">
        <v>1317</v>
      </c>
      <c r="O332" s="26">
        <v>3315333269</v>
      </c>
      <c r="P332" s="29" t="s">
        <v>2197</v>
      </c>
      <c r="Q332" s="31" t="s">
        <v>15</v>
      </c>
      <c r="R332" s="26">
        <v>5513972258</v>
      </c>
      <c r="S332" s="31" t="s">
        <v>2216</v>
      </c>
      <c r="T332" s="26" t="s">
        <v>2254</v>
      </c>
      <c r="U332" s="31" t="s">
        <v>2253</v>
      </c>
      <c r="V332" s="31" t="s">
        <v>1342</v>
      </c>
      <c r="W332" s="31" t="s">
        <v>1343</v>
      </c>
      <c r="X332" s="31" t="s">
        <v>99</v>
      </c>
      <c r="Y332" s="31">
        <v>42130</v>
      </c>
      <c r="Z332" s="31" t="s">
        <v>954</v>
      </c>
      <c r="AA332" s="31" t="s">
        <v>955</v>
      </c>
      <c r="AB332" s="31" t="s">
        <v>1344</v>
      </c>
      <c r="AC332" s="31">
        <v>3338337261</v>
      </c>
      <c r="AD332" s="31">
        <v>3338337262</v>
      </c>
    </row>
    <row r="333" spans="1:30" x14ac:dyDescent="0.2">
      <c r="A333" s="26">
        <v>11524</v>
      </c>
      <c r="B333" s="26">
        <f>VLOOKUP(A333,Hoja1!A:A,1,FALSE)</f>
        <v>11524</v>
      </c>
      <c r="C333" s="27" t="s">
        <v>1345</v>
      </c>
      <c r="D333" s="28" t="s">
        <v>948</v>
      </c>
      <c r="E333" s="29" t="s">
        <v>949</v>
      </c>
      <c r="F333" s="29" t="s">
        <v>14</v>
      </c>
      <c r="G333" s="30">
        <v>39567</v>
      </c>
      <c r="H333" s="26" t="s">
        <v>49</v>
      </c>
      <c r="I333" s="26" t="s">
        <v>110</v>
      </c>
      <c r="J333" s="26" t="s">
        <v>110</v>
      </c>
      <c r="K333" s="26">
        <v>44546</v>
      </c>
      <c r="L333" s="31" t="s">
        <v>1346</v>
      </c>
      <c r="M333" s="26">
        <v>6163</v>
      </c>
      <c r="N333" s="31" t="s">
        <v>1317</v>
      </c>
      <c r="O333" s="26">
        <v>3315333269</v>
      </c>
      <c r="P333" s="29" t="s">
        <v>2197</v>
      </c>
      <c r="Q333" s="31" t="s">
        <v>15</v>
      </c>
      <c r="R333" s="26">
        <v>5513972258</v>
      </c>
      <c r="S333" s="31" t="s">
        <v>2216</v>
      </c>
      <c r="T333" s="26" t="s">
        <v>2254</v>
      </c>
      <c r="U333" s="31" t="s">
        <v>2253</v>
      </c>
      <c r="V333" s="31" t="s">
        <v>1347</v>
      </c>
      <c r="W333" s="31" t="s">
        <v>1348</v>
      </c>
      <c r="X333" s="31" t="s">
        <v>99</v>
      </c>
      <c r="Y333" s="31">
        <v>45110</v>
      </c>
      <c r="Z333" s="31" t="s">
        <v>1044</v>
      </c>
      <c r="AA333" s="31" t="s">
        <v>955</v>
      </c>
      <c r="AB333" s="31" t="s">
        <v>1349</v>
      </c>
      <c r="AC333" s="31">
        <v>3336404800</v>
      </c>
      <c r="AD333" s="31">
        <v>3336423084</v>
      </c>
    </row>
    <row r="334" spans="1:30" x14ac:dyDescent="0.2">
      <c r="A334" s="26">
        <v>11568</v>
      </c>
      <c r="B334" s="26">
        <f>VLOOKUP(A334,Hoja1!A:A,1,FALSE)</f>
        <v>11568</v>
      </c>
      <c r="C334" s="27" t="s">
        <v>1350</v>
      </c>
      <c r="D334" s="28" t="s">
        <v>948</v>
      </c>
      <c r="E334" s="29" t="s">
        <v>949</v>
      </c>
      <c r="F334" s="29" t="s">
        <v>14</v>
      </c>
      <c r="G334" s="30">
        <v>42069</v>
      </c>
      <c r="H334" s="26" t="s">
        <v>49</v>
      </c>
      <c r="I334" s="26" t="s">
        <v>110</v>
      </c>
      <c r="J334" s="26" t="s">
        <v>110</v>
      </c>
      <c r="K334" s="26" t="s">
        <v>395</v>
      </c>
      <c r="L334" s="31" t="s">
        <v>395</v>
      </c>
      <c r="M334" s="26">
        <v>6163</v>
      </c>
      <c r="N334" s="31" t="s">
        <v>1317</v>
      </c>
      <c r="O334" s="26">
        <v>3315333269</v>
      </c>
      <c r="P334" s="29" t="s">
        <v>2197</v>
      </c>
      <c r="Q334" s="31" t="s">
        <v>15</v>
      </c>
      <c r="R334" s="26">
        <v>5513972258</v>
      </c>
      <c r="S334" s="31" t="s">
        <v>2216</v>
      </c>
      <c r="T334" s="26" t="s">
        <v>2254</v>
      </c>
      <c r="U334" s="31" t="s">
        <v>2253</v>
      </c>
      <c r="V334" s="31" t="s">
        <v>1352</v>
      </c>
      <c r="W334" s="31" t="s">
        <v>1353</v>
      </c>
      <c r="X334" s="31" t="s">
        <v>99</v>
      </c>
      <c r="Y334" s="31">
        <v>45136</v>
      </c>
      <c r="Z334" s="31" t="s">
        <v>1044</v>
      </c>
      <c r="AA334" s="31" t="s">
        <v>955</v>
      </c>
      <c r="AB334" s="31" t="s">
        <v>1354</v>
      </c>
      <c r="AC334" s="31">
        <v>3338053121</v>
      </c>
      <c r="AD334" s="31">
        <v>3338053121</v>
      </c>
    </row>
    <row r="335" spans="1:30" x14ac:dyDescent="0.2">
      <c r="A335" s="26">
        <v>11570</v>
      </c>
      <c r="B335" s="26">
        <f>VLOOKUP(A335,Hoja1!A:A,1,FALSE)</f>
        <v>11570</v>
      </c>
      <c r="C335" s="27" t="s">
        <v>1355</v>
      </c>
      <c r="D335" s="28" t="s">
        <v>948</v>
      </c>
      <c r="E335" s="29" t="s">
        <v>949</v>
      </c>
      <c r="F335" s="29" t="s">
        <v>14</v>
      </c>
      <c r="G335" s="30">
        <v>42172</v>
      </c>
      <c r="H335" s="26" t="s">
        <v>49</v>
      </c>
      <c r="I335" s="26" t="s">
        <v>110</v>
      </c>
      <c r="J335" s="26" t="s">
        <v>110</v>
      </c>
      <c r="K335" s="26" t="s">
        <v>395</v>
      </c>
      <c r="L335" s="31" t="s">
        <v>395</v>
      </c>
      <c r="M335" s="26">
        <v>6163</v>
      </c>
      <c r="N335" s="31" t="s">
        <v>1317</v>
      </c>
      <c r="O335" s="26">
        <v>3315333269</v>
      </c>
      <c r="P335" s="29" t="s">
        <v>2197</v>
      </c>
      <c r="Q335" s="31" t="s">
        <v>15</v>
      </c>
      <c r="R335" s="26">
        <v>5513972258</v>
      </c>
      <c r="S335" s="31" t="s">
        <v>2216</v>
      </c>
      <c r="T335" s="26" t="s">
        <v>2254</v>
      </c>
      <c r="U335" s="31" t="s">
        <v>2253</v>
      </c>
      <c r="V335" s="31" t="s">
        <v>1356</v>
      </c>
      <c r="W335" s="31" t="s">
        <v>1357</v>
      </c>
      <c r="X335" s="31" t="s">
        <v>99</v>
      </c>
      <c r="Y335" s="31">
        <v>45134</v>
      </c>
      <c r="Z335" s="31" t="s">
        <v>1044</v>
      </c>
      <c r="AA335" s="31" t="s">
        <v>955</v>
      </c>
      <c r="AB335" s="31" t="s">
        <v>1358</v>
      </c>
      <c r="AC335" s="31">
        <v>3338345585</v>
      </c>
      <c r="AD335" s="31">
        <v>3338345585</v>
      </c>
    </row>
    <row r="336" spans="1:30" x14ac:dyDescent="0.2">
      <c r="A336" s="15">
        <v>12368</v>
      </c>
      <c r="B336" s="26" t="e">
        <f>VLOOKUP(A336,Hoja1!A:A,1,FALSE)</f>
        <v>#N/A</v>
      </c>
      <c r="C336" s="13" t="s">
        <v>1954</v>
      </c>
      <c r="D336" s="28" t="s">
        <v>948</v>
      </c>
      <c r="E336" s="33" t="s">
        <v>949</v>
      </c>
      <c r="F336" s="33" t="s">
        <v>14</v>
      </c>
      <c r="G336" s="34">
        <v>43747</v>
      </c>
      <c r="H336" s="15" t="s">
        <v>49</v>
      </c>
      <c r="I336" s="15" t="s">
        <v>110</v>
      </c>
      <c r="J336" s="15" t="s">
        <v>110</v>
      </c>
      <c r="K336" s="26">
        <v>33113</v>
      </c>
      <c r="L336" s="31" t="s">
        <v>1327</v>
      </c>
      <c r="M336" s="26">
        <v>6163</v>
      </c>
      <c r="N336" s="31" t="s">
        <v>1317</v>
      </c>
      <c r="O336" s="26">
        <v>3315333269</v>
      </c>
      <c r="P336" s="29" t="s">
        <v>2197</v>
      </c>
      <c r="Q336" s="16" t="s">
        <v>15</v>
      </c>
      <c r="R336" s="26">
        <v>5513972258</v>
      </c>
      <c r="S336" s="31" t="s">
        <v>2216</v>
      </c>
      <c r="T336" s="26" t="s">
        <v>2254</v>
      </c>
      <c r="U336" s="31" t="s">
        <v>2253</v>
      </c>
      <c r="V336" s="16" t="s">
        <v>2156</v>
      </c>
      <c r="W336" s="31" t="s">
        <v>1954</v>
      </c>
      <c r="X336" s="31" t="s">
        <v>99</v>
      </c>
      <c r="Y336" s="31">
        <v>45019</v>
      </c>
      <c r="Z336" s="31" t="s">
        <v>1044</v>
      </c>
      <c r="AA336" s="31" t="s">
        <v>955</v>
      </c>
      <c r="AB336" s="31" t="s">
        <v>2094</v>
      </c>
      <c r="AC336" s="31">
        <v>3338012941</v>
      </c>
      <c r="AD336" s="31">
        <v>3315790288</v>
      </c>
    </row>
    <row r="337" spans="1:30" x14ac:dyDescent="0.2">
      <c r="A337" s="26">
        <v>11256</v>
      </c>
      <c r="B337" s="26">
        <f>VLOOKUP(A337,Hoja1!A:A,1,FALSE)</f>
        <v>11256</v>
      </c>
      <c r="C337" s="27" t="s">
        <v>1359</v>
      </c>
      <c r="D337" s="28" t="s">
        <v>1360</v>
      </c>
      <c r="E337" s="29" t="s">
        <v>16</v>
      </c>
      <c r="F337" s="29" t="s">
        <v>16</v>
      </c>
      <c r="G337" s="30">
        <v>36497</v>
      </c>
      <c r="H337" s="26" t="s">
        <v>49</v>
      </c>
      <c r="I337" s="26" t="s">
        <v>110</v>
      </c>
      <c r="J337" s="26" t="s">
        <v>110</v>
      </c>
      <c r="K337" s="26">
        <v>78813</v>
      </c>
      <c r="L337" s="31" t="s">
        <v>1361</v>
      </c>
      <c r="M337" s="26">
        <v>5018</v>
      </c>
      <c r="N337" s="31" t="s">
        <v>1362</v>
      </c>
      <c r="O337" s="26">
        <v>2223080225</v>
      </c>
      <c r="P337" s="29" t="s">
        <v>2198</v>
      </c>
      <c r="Q337" s="31" t="s">
        <v>17</v>
      </c>
      <c r="R337" s="26">
        <v>5539398490</v>
      </c>
      <c r="S337" s="31" t="s">
        <v>2217</v>
      </c>
      <c r="T337" s="26" t="s">
        <v>19</v>
      </c>
      <c r="U337" s="31" t="s">
        <v>2253</v>
      </c>
      <c r="V337" s="31" t="s">
        <v>1363</v>
      </c>
      <c r="W337" s="31" t="s">
        <v>1364</v>
      </c>
      <c r="X337" s="31" t="s">
        <v>99</v>
      </c>
      <c r="Y337" s="31">
        <v>93240</v>
      </c>
      <c r="Z337" s="31" t="s">
        <v>1359</v>
      </c>
      <c r="AA337" s="31" t="s">
        <v>1365</v>
      </c>
      <c r="AB337" s="31" t="s">
        <v>1366</v>
      </c>
      <c r="AC337" s="31">
        <v>7828227970</v>
      </c>
      <c r="AD337" s="31">
        <v>7828245222</v>
      </c>
    </row>
    <row r="338" spans="1:30" x14ac:dyDescent="0.2">
      <c r="A338" s="26">
        <v>11287</v>
      </c>
      <c r="B338" s="26">
        <f>VLOOKUP(A338,Hoja1!A:A,1,FALSE)</f>
        <v>11287</v>
      </c>
      <c r="C338" s="27" t="s">
        <v>1367</v>
      </c>
      <c r="D338" s="28" t="s">
        <v>1360</v>
      </c>
      <c r="E338" s="29" t="s">
        <v>16</v>
      </c>
      <c r="F338" s="29" t="s">
        <v>16</v>
      </c>
      <c r="G338" s="30">
        <v>36563</v>
      </c>
      <c r="H338" s="26" t="s">
        <v>49</v>
      </c>
      <c r="I338" s="26" t="s">
        <v>110</v>
      </c>
      <c r="J338" s="26" t="s">
        <v>110</v>
      </c>
      <c r="K338" s="26">
        <v>123096</v>
      </c>
      <c r="L338" s="31" t="s">
        <v>1368</v>
      </c>
      <c r="M338" s="26">
        <v>5018</v>
      </c>
      <c r="N338" s="31" t="s">
        <v>1362</v>
      </c>
      <c r="O338" s="26">
        <v>2223080225</v>
      </c>
      <c r="P338" s="29" t="s">
        <v>2198</v>
      </c>
      <c r="Q338" s="31" t="s">
        <v>17</v>
      </c>
      <c r="R338" s="26">
        <v>5539398490</v>
      </c>
      <c r="S338" s="31" t="s">
        <v>2217</v>
      </c>
      <c r="T338" s="26" t="s">
        <v>19</v>
      </c>
      <c r="U338" s="31" t="s">
        <v>2253</v>
      </c>
      <c r="V338" s="31" t="s">
        <v>1369</v>
      </c>
      <c r="W338" s="31" t="s">
        <v>89</v>
      </c>
      <c r="X338" s="31" t="s">
        <v>99</v>
      </c>
      <c r="Y338" s="31">
        <v>92800</v>
      </c>
      <c r="Z338" s="31" t="s">
        <v>1367</v>
      </c>
      <c r="AA338" s="31" t="s">
        <v>1365</v>
      </c>
      <c r="AB338" s="31" t="s">
        <v>1370</v>
      </c>
      <c r="AC338" s="31">
        <v>7838350386</v>
      </c>
      <c r="AD338" s="31">
        <v>7838350111</v>
      </c>
    </row>
    <row r="339" spans="1:30" x14ac:dyDescent="0.2">
      <c r="A339" s="26">
        <v>11371</v>
      </c>
      <c r="B339" s="26">
        <f>VLOOKUP(A339,Hoja1!A:A,1,FALSE)</f>
        <v>11371</v>
      </c>
      <c r="C339" s="27" t="s">
        <v>1371</v>
      </c>
      <c r="D339" s="28" t="s">
        <v>1360</v>
      </c>
      <c r="E339" s="29" t="s">
        <v>16</v>
      </c>
      <c r="F339" s="29" t="s">
        <v>16</v>
      </c>
      <c r="G339" s="30">
        <v>37295</v>
      </c>
      <c r="H339" s="26" t="s">
        <v>49</v>
      </c>
      <c r="I339" s="26" t="s">
        <v>110</v>
      </c>
      <c r="J339" s="26" t="s">
        <v>110</v>
      </c>
      <c r="K339" s="26">
        <v>60945</v>
      </c>
      <c r="L339" s="31" t="s">
        <v>1372</v>
      </c>
      <c r="M339" s="26">
        <v>5018</v>
      </c>
      <c r="N339" s="31" t="s">
        <v>1362</v>
      </c>
      <c r="O339" s="26">
        <v>2223080225</v>
      </c>
      <c r="P339" s="29" t="s">
        <v>2198</v>
      </c>
      <c r="Q339" s="31" t="s">
        <v>17</v>
      </c>
      <c r="R339" s="26">
        <v>5539398490</v>
      </c>
      <c r="S339" s="31" t="s">
        <v>2217</v>
      </c>
      <c r="T339" s="26" t="s">
        <v>19</v>
      </c>
      <c r="U339" s="31" t="s">
        <v>2253</v>
      </c>
      <c r="V339" s="31" t="s">
        <v>1373</v>
      </c>
      <c r="W339" s="31" t="s">
        <v>1374</v>
      </c>
      <c r="X339" s="31" t="s">
        <v>99</v>
      </c>
      <c r="Y339" s="31">
        <v>93600</v>
      </c>
      <c r="Z339" s="31" t="s">
        <v>1375</v>
      </c>
      <c r="AA339" s="31" t="s">
        <v>1365</v>
      </c>
      <c r="AB339" s="31" t="s">
        <v>1376</v>
      </c>
      <c r="AC339" s="31">
        <v>2323730632</v>
      </c>
      <c r="AD339" s="31">
        <v>2323730666</v>
      </c>
    </row>
    <row r="340" spans="1:30" x14ac:dyDescent="0.2">
      <c r="A340" s="26">
        <v>11412</v>
      </c>
      <c r="B340" s="26">
        <f>VLOOKUP(A340,Hoja1!A:A,1,FALSE)</f>
        <v>11412</v>
      </c>
      <c r="C340" s="27" t="s">
        <v>1377</v>
      </c>
      <c r="D340" s="28" t="s">
        <v>1360</v>
      </c>
      <c r="E340" s="29" t="s">
        <v>16</v>
      </c>
      <c r="F340" s="29" t="s">
        <v>16</v>
      </c>
      <c r="G340" s="30">
        <v>37614</v>
      </c>
      <c r="H340" s="26" t="s">
        <v>49</v>
      </c>
      <c r="I340" s="26" t="s">
        <v>110</v>
      </c>
      <c r="J340" s="26" t="s">
        <v>110</v>
      </c>
      <c r="K340" s="26">
        <v>77995</v>
      </c>
      <c r="L340" s="31" t="s">
        <v>1378</v>
      </c>
      <c r="M340" s="26">
        <v>5018</v>
      </c>
      <c r="N340" s="31" t="s">
        <v>1362</v>
      </c>
      <c r="O340" s="26">
        <v>2223080225</v>
      </c>
      <c r="P340" s="29" t="s">
        <v>2198</v>
      </c>
      <c r="Q340" s="31" t="s">
        <v>17</v>
      </c>
      <c r="R340" s="26">
        <v>5539398490</v>
      </c>
      <c r="S340" s="31" t="s">
        <v>2217</v>
      </c>
      <c r="T340" s="26" t="s">
        <v>19</v>
      </c>
      <c r="U340" s="31" t="s">
        <v>2253</v>
      </c>
      <c r="V340" s="31" t="s">
        <v>1379</v>
      </c>
      <c r="W340" s="31" t="s">
        <v>418</v>
      </c>
      <c r="X340" s="31" t="s">
        <v>99</v>
      </c>
      <c r="Y340" s="31">
        <v>93260</v>
      </c>
      <c r="Z340" s="31" t="s">
        <v>1359</v>
      </c>
      <c r="AA340" s="31" t="s">
        <v>1365</v>
      </c>
      <c r="AB340" s="31" t="s">
        <v>1380</v>
      </c>
      <c r="AC340" s="31">
        <v>7828249653</v>
      </c>
      <c r="AD340" s="31">
        <v>7828249636</v>
      </c>
    </row>
    <row r="341" spans="1:30" x14ac:dyDescent="0.2">
      <c r="A341" s="26">
        <v>11573</v>
      </c>
      <c r="B341" s="26">
        <f>VLOOKUP(A341,Hoja1!A:A,1,FALSE)</f>
        <v>11573</v>
      </c>
      <c r="C341" s="27" t="s">
        <v>1381</v>
      </c>
      <c r="D341" s="28" t="s">
        <v>1360</v>
      </c>
      <c r="E341" s="29" t="s">
        <v>16</v>
      </c>
      <c r="F341" s="29" t="s">
        <v>16</v>
      </c>
      <c r="G341" s="30">
        <v>42221</v>
      </c>
      <c r="H341" s="26" t="s">
        <v>49</v>
      </c>
      <c r="I341" s="26" t="s">
        <v>110</v>
      </c>
      <c r="J341" s="26" t="s">
        <v>110</v>
      </c>
      <c r="K341" s="26">
        <v>38600</v>
      </c>
      <c r="L341" s="31" t="s">
        <v>2144</v>
      </c>
      <c r="M341" s="26">
        <v>5018</v>
      </c>
      <c r="N341" s="31" t="s">
        <v>1362</v>
      </c>
      <c r="O341" s="26">
        <v>2223080225</v>
      </c>
      <c r="P341" s="29" t="s">
        <v>2198</v>
      </c>
      <c r="Q341" s="31" t="s">
        <v>17</v>
      </c>
      <c r="R341" s="26">
        <v>5539398490</v>
      </c>
      <c r="S341" s="31" t="s">
        <v>2217</v>
      </c>
      <c r="T341" s="26" t="s">
        <v>19</v>
      </c>
      <c r="U341" s="31" t="s">
        <v>2253</v>
      </c>
      <c r="V341" s="31" t="s">
        <v>1382</v>
      </c>
      <c r="W341" s="31" t="s">
        <v>1383</v>
      </c>
      <c r="X341" s="31" t="s">
        <v>99</v>
      </c>
      <c r="Y341" s="31">
        <v>73800</v>
      </c>
      <c r="Z341" s="31" t="s">
        <v>1384</v>
      </c>
      <c r="AA341" s="31" t="s">
        <v>1384</v>
      </c>
      <c r="AB341" s="31" t="s">
        <v>1385</v>
      </c>
      <c r="AC341" s="31">
        <v>2313130029</v>
      </c>
      <c r="AD341" s="31">
        <v>2313130036</v>
      </c>
    </row>
    <row r="342" spans="1:30" x14ac:dyDescent="0.2">
      <c r="A342" s="26">
        <v>11030</v>
      </c>
      <c r="B342" s="26">
        <f>VLOOKUP(A342,Hoja1!A:A,1,FALSE)</f>
        <v>11030</v>
      </c>
      <c r="C342" s="27" t="s">
        <v>1386</v>
      </c>
      <c r="D342" s="28" t="s">
        <v>1360</v>
      </c>
      <c r="E342" s="29" t="s">
        <v>16</v>
      </c>
      <c r="F342" s="29" t="s">
        <v>16</v>
      </c>
      <c r="G342" s="30">
        <v>33472</v>
      </c>
      <c r="H342" s="26" t="s">
        <v>49</v>
      </c>
      <c r="I342" s="26" t="s">
        <v>110</v>
      </c>
      <c r="J342" s="26" t="s">
        <v>110</v>
      </c>
      <c r="K342" s="26">
        <v>85284</v>
      </c>
      <c r="L342" s="31" t="s">
        <v>1387</v>
      </c>
      <c r="M342" s="26">
        <v>2349</v>
      </c>
      <c r="N342" s="31" t="s">
        <v>1388</v>
      </c>
      <c r="O342" s="26">
        <v>2225544578</v>
      </c>
      <c r="P342" s="29" t="s">
        <v>2199</v>
      </c>
      <c r="Q342" s="31" t="s">
        <v>17</v>
      </c>
      <c r="R342" s="26">
        <v>5539398490</v>
      </c>
      <c r="S342" s="31" t="s">
        <v>2217</v>
      </c>
      <c r="T342" s="26" t="s">
        <v>19</v>
      </c>
      <c r="U342" s="31" t="s">
        <v>2253</v>
      </c>
      <c r="V342" s="31" t="s">
        <v>1389</v>
      </c>
      <c r="W342" s="31" t="s">
        <v>170</v>
      </c>
      <c r="X342" s="31" t="s">
        <v>99</v>
      </c>
      <c r="Y342" s="31">
        <v>72530</v>
      </c>
      <c r="Z342" s="31" t="s">
        <v>1384</v>
      </c>
      <c r="AA342" s="31" t="s">
        <v>1384</v>
      </c>
      <c r="AB342" s="31" t="s">
        <v>1390</v>
      </c>
      <c r="AC342" s="31">
        <v>2225035210</v>
      </c>
      <c r="AD342" s="31">
        <v>2222406120</v>
      </c>
    </row>
    <row r="343" spans="1:30" x14ac:dyDescent="0.2">
      <c r="A343" s="26">
        <v>11059</v>
      </c>
      <c r="B343" s="26">
        <f>VLOOKUP(A343,Hoja1!A:A,1,FALSE)</f>
        <v>11059</v>
      </c>
      <c r="C343" s="27" t="s">
        <v>1391</v>
      </c>
      <c r="D343" s="28" t="s">
        <v>1360</v>
      </c>
      <c r="E343" s="29" t="s">
        <v>16</v>
      </c>
      <c r="F343" s="29" t="s">
        <v>16</v>
      </c>
      <c r="G343" s="30">
        <v>33709</v>
      </c>
      <c r="H343" s="26" t="s">
        <v>49</v>
      </c>
      <c r="I343" s="26" t="s">
        <v>110</v>
      </c>
      <c r="J343" s="26" t="s">
        <v>110</v>
      </c>
      <c r="K343" s="26">
        <v>37665</v>
      </c>
      <c r="L343" s="31" t="s">
        <v>1392</v>
      </c>
      <c r="M343" s="26">
        <v>2349</v>
      </c>
      <c r="N343" s="31" t="s">
        <v>1388</v>
      </c>
      <c r="O343" s="26">
        <v>2225544578</v>
      </c>
      <c r="P343" s="29" t="s">
        <v>2199</v>
      </c>
      <c r="Q343" s="31" t="s">
        <v>17</v>
      </c>
      <c r="R343" s="26">
        <v>5539398490</v>
      </c>
      <c r="S343" s="31" t="s">
        <v>2217</v>
      </c>
      <c r="T343" s="26" t="s">
        <v>19</v>
      </c>
      <c r="U343" s="31" t="s">
        <v>2253</v>
      </c>
      <c r="V343" s="31" t="s">
        <v>2076</v>
      </c>
      <c r="W343" s="31" t="s">
        <v>1393</v>
      </c>
      <c r="X343" s="31" t="s">
        <v>99</v>
      </c>
      <c r="Y343" s="31">
        <v>72400</v>
      </c>
      <c r="Z343" s="31" t="s">
        <v>1384</v>
      </c>
      <c r="AA343" s="31" t="s">
        <v>1384</v>
      </c>
      <c r="AB343" s="31" t="s">
        <v>1394</v>
      </c>
      <c r="AC343" s="31">
        <v>2225035213</v>
      </c>
      <c r="AD343" s="31">
        <v>2222373707</v>
      </c>
    </row>
    <row r="344" spans="1:30" x14ac:dyDescent="0.2">
      <c r="A344" s="26">
        <v>11323</v>
      </c>
      <c r="B344" s="26">
        <f>VLOOKUP(A344,Hoja1!A:A,1,FALSE)</f>
        <v>11323</v>
      </c>
      <c r="C344" s="27" t="s">
        <v>1395</v>
      </c>
      <c r="D344" s="28" t="s">
        <v>1360</v>
      </c>
      <c r="E344" s="29" t="s">
        <v>16</v>
      </c>
      <c r="F344" s="29" t="s">
        <v>16</v>
      </c>
      <c r="G344" s="30">
        <v>37257</v>
      </c>
      <c r="H344" s="26" t="s">
        <v>49</v>
      </c>
      <c r="I344" s="26" t="s">
        <v>110</v>
      </c>
      <c r="J344" s="26" t="s">
        <v>110</v>
      </c>
      <c r="K344" s="26">
        <v>40627</v>
      </c>
      <c r="L344" s="31" t="s">
        <v>1396</v>
      </c>
      <c r="M344" s="26">
        <v>2349</v>
      </c>
      <c r="N344" s="31" t="s">
        <v>1388</v>
      </c>
      <c r="O344" s="26">
        <v>2225544578</v>
      </c>
      <c r="P344" s="29" t="s">
        <v>2199</v>
      </c>
      <c r="Q344" s="31" t="s">
        <v>17</v>
      </c>
      <c r="R344" s="26">
        <v>5539398490</v>
      </c>
      <c r="S344" s="31" t="s">
        <v>2217</v>
      </c>
      <c r="T344" s="26" t="s">
        <v>19</v>
      </c>
      <c r="U344" s="31" t="s">
        <v>2253</v>
      </c>
      <c r="V344" s="31" t="s">
        <v>2077</v>
      </c>
      <c r="W344" s="31" t="s">
        <v>2078</v>
      </c>
      <c r="X344" s="31" t="s">
        <v>99</v>
      </c>
      <c r="Y344" s="31">
        <v>72480</v>
      </c>
      <c r="Z344" s="31" t="s">
        <v>1384</v>
      </c>
      <c r="AA344" s="31" t="s">
        <v>1384</v>
      </c>
      <c r="AB344" s="31" t="s">
        <v>1397</v>
      </c>
      <c r="AC344" s="31">
        <v>2221251991</v>
      </c>
      <c r="AD344" s="31">
        <v>2222199666</v>
      </c>
    </row>
    <row r="345" spans="1:30" x14ac:dyDescent="0.2">
      <c r="A345" s="26">
        <v>11333</v>
      </c>
      <c r="B345" s="26">
        <f>VLOOKUP(A345,Hoja1!A:A,1,FALSE)</f>
        <v>11333</v>
      </c>
      <c r="C345" s="27" t="s">
        <v>1398</v>
      </c>
      <c r="D345" s="28" t="s">
        <v>1360</v>
      </c>
      <c r="E345" s="29" t="s">
        <v>16</v>
      </c>
      <c r="F345" s="29" t="s">
        <v>16</v>
      </c>
      <c r="G345" s="30">
        <v>37257</v>
      </c>
      <c r="H345" s="26" t="s">
        <v>49</v>
      </c>
      <c r="I345" s="26" t="s">
        <v>110</v>
      </c>
      <c r="J345" s="26" t="s">
        <v>110</v>
      </c>
      <c r="K345" s="26">
        <v>87344</v>
      </c>
      <c r="L345" s="31" t="s">
        <v>1399</v>
      </c>
      <c r="M345" s="26">
        <v>2349</v>
      </c>
      <c r="N345" s="31" t="s">
        <v>1388</v>
      </c>
      <c r="O345" s="26">
        <v>2225544578</v>
      </c>
      <c r="P345" s="29" t="s">
        <v>2199</v>
      </c>
      <c r="Q345" s="31" t="s">
        <v>17</v>
      </c>
      <c r="R345" s="26">
        <v>5539398490</v>
      </c>
      <c r="S345" s="31" t="s">
        <v>2217</v>
      </c>
      <c r="T345" s="26" t="s">
        <v>19</v>
      </c>
      <c r="U345" s="31" t="s">
        <v>2253</v>
      </c>
      <c r="V345" s="31" t="s">
        <v>2079</v>
      </c>
      <c r="W345" s="31" t="s">
        <v>1400</v>
      </c>
      <c r="X345" s="31" t="s">
        <v>99</v>
      </c>
      <c r="Y345" s="31">
        <v>72476</v>
      </c>
      <c r="Z345" s="31" t="s">
        <v>1384</v>
      </c>
      <c r="AA345" s="31" t="s">
        <v>1384</v>
      </c>
      <c r="AB345" s="31" t="s">
        <v>1401</v>
      </c>
      <c r="AC345" s="31">
        <v>2222446232</v>
      </c>
      <c r="AD345" s="31">
        <v>2222642626</v>
      </c>
    </row>
    <row r="346" spans="1:30" x14ac:dyDescent="0.2">
      <c r="A346" s="26">
        <v>11370</v>
      </c>
      <c r="B346" s="26">
        <f>VLOOKUP(A346,Hoja1!A:A,1,FALSE)</f>
        <v>11370</v>
      </c>
      <c r="C346" s="27" t="s">
        <v>1402</v>
      </c>
      <c r="D346" s="28" t="s">
        <v>1360</v>
      </c>
      <c r="E346" s="29" t="s">
        <v>16</v>
      </c>
      <c r="F346" s="29" t="s">
        <v>16</v>
      </c>
      <c r="G346" s="30">
        <v>37270</v>
      </c>
      <c r="H346" s="26" t="s">
        <v>49</v>
      </c>
      <c r="I346" s="26" t="s">
        <v>110</v>
      </c>
      <c r="J346" s="26" t="s">
        <v>110</v>
      </c>
      <c r="K346" s="26">
        <v>38447</v>
      </c>
      <c r="L346" s="31" t="s">
        <v>1958</v>
      </c>
      <c r="M346" s="26">
        <v>2349</v>
      </c>
      <c r="N346" s="31" t="s">
        <v>1388</v>
      </c>
      <c r="O346" s="26">
        <v>2225544578</v>
      </c>
      <c r="P346" s="29" t="s">
        <v>2199</v>
      </c>
      <c r="Q346" s="31" t="s">
        <v>17</v>
      </c>
      <c r="R346" s="26">
        <v>5539398490</v>
      </c>
      <c r="S346" s="31" t="s">
        <v>2217</v>
      </c>
      <c r="T346" s="26" t="s">
        <v>19</v>
      </c>
      <c r="U346" s="31" t="s">
        <v>2253</v>
      </c>
      <c r="V346" s="31" t="s">
        <v>1403</v>
      </c>
      <c r="W346" s="31" t="s">
        <v>293</v>
      </c>
      <c r="X346" s="31" t="s">
        <v>99</v>
      </c>
      <c r="Y346" s="31">
        <v>72090</v>
      </c>
      <c r="Z346" s="31" t="s">
        <v>1384</v>
      </c>
      <c r="AA346" s="31" t="s">
        <v>1384</v>
      </c>
      <c r="AB346" s="31" t="s">
        <v>1404</v>
      </c>
      <c r="AC346" s="31">
        <v>2222266747</v>
      </c>
      <c r="AD346" s="31">
        <v>2222467533</v>
      </c>
    </row>
    <row r="347" spans="1:30" x14ac:dyDescent="0.2">
      <c r="A347" s="26">
        <v>11376</v>
      </c>
      <c r="B347" s="26">
        <f>VLOOKUP(A347,Hoja1!A:A,1,FALSE)</f>
        <v>11376</v>
      </c>
      <c r="C347" s="27" t="s">
        <v>1405</v>
      </c>
      <c r="D347" s="28" t="s">
        <v>1360</v>
      </c>
      <c r="E347" s="29" t="s">
        <v>16</v>
      </c>
      <c r="F347" s="29" t="s">
        <v>16</v>
      </c>
      <c r="G347" s="30">
        <v>37257</v>
      </c>
      <c r="H347" s="26" t="s">
        <v>49</v>
      </c>
      <c r="I347" s="26" t="s">
        <v>110</v>
      </c>
      <c r="J347" s="26" t="s">
        <v>110</v>
      </c>
      <c r="K347" s="26">
        <v>35618</v>
      </c>
      <c r="L347" s="31" t="s">
        <v>1406</v>
      </c>
      <c r="M347" s="26">
        <v>2349</v>
      </c>
      <c r="N347" s="31" t="s">
        <v>1388</v>
      </c>
      <c r="O347" s="26">
        <v>2225544578</v>
      </c>
      <c r="P347" s="29" t="s">
        <v>2199</v>
      </c>
      <c r="Q347" s="31" t="s">
        <v>17</v>
      </c>
      <c r="R347" s="26">
        <v>5539398490</v>
      </c>
      <c r="S347" s="31" t="s">
        <v>2217</v>
      </c>
      <c r="T347" s="26" t="s">
        <v>19</v>
      </c>
      <c r="U347" s="31" t="s">
        <v>2253</v>
      </c>
      <c r="V347" s="31" t="s">
        <v>1407</v>
      </c>
      <c r="W347" s="31" t="s">
        <v>1408</v>
      </c>
      <c r="X347" s="31" t="s">
        <v>99</v>
      </c>
      <c r="Y347" s="31">
        <v>72589</v>
      </c>
      <c r="Z347" s="31" t="s">
        <v>1384</v>
      </c>
      <c r="AA347" s="31" t="s">
        <v>1384</v>
      </c>
      <c r="AB347" s="31" t="s">
        <v>1409</v>
      </c>
      <c r="AC347" s="31">
        <v>2227989298</v>
      </c>
      <c r="AD347" s="31">
        <v>2222646595</v>
      </c>
    </row>
    <row r="348" spans="1:30" x14ac:dyDescent="0.2">
      <c r="A348" s="26">
        <v>11381</v>
      </c>
      <c r="B348" s="26">
        <f>VLOOKUP(A348,Hoja1!A:A,1,FALSE)</f>
        <v>11381</v>
      </c>
      <c r="C348" s="27" t="s">
        <v>1410</v>
      </c>
      <c r="D348" s="28" t="s">
        <v>1360</v>
      </c>
      <c r="E348" s="29" t="s">
        <v>16</v>
      </c>
      <c r="F348" s="29" t="s">
        <v>16</v>
      </c>
      <c r="G348" s="30">
        <v>37515</v>
      </c>
      <c r="H348" s="26" t="s">
        <v>49</v>
      </c>
      <c r="I348" s="26" t="s">
        <v>110</v>
      </c>
      <c r="J348" s="26" t="s">
        <v>110</v>
      </c>
      <c r="K348" s="26">
        <v>35257</v>
      </c>
      <c r="L348" s="31" t="s">
        <v>1411</v>
      </c>
      <c r="M348" s="26">
        <v>2349</v>
      </c>
      <c r="N348" s="31" t="s">
        <v>1388</v>
      </c>
      <c r="O348" s="26">
        <v>2225544578</v>
      </c>
      <c r="P348" s="29" t="s">
        <v>2199</v>
      </c>
      <c r="Q348" s="31" t="s">
        <v>17</v>
      </c>
      <c r="R348" s="26">
        <v>5539398490</v>
      </c>
      <c r="S348" s="31" t="s">
        <v>2217</v>
      </c>
      <c r="T348" s="26" t="s">
        <v>19</v>
      </c>
      <c r="U348" s="31" t="s">
        <v>2253</v>
      </c>
      <c r="V348" s="31" t="s">
        <v>2080</v>
      </c>
      <c r="W348" s="31" t="s">
        <v>2081</v>
      </c>
      <c r="X348" s="31" t="s">
        <v>99</v>
      </c>
      <c r="Y348" s="31">
        <v>74200</v>
      </c>
      <c r="Z348" s="31" t="s">
        <v>1410</v>
      </c>
      <c r="AA348" s="31" t="s">
        <v>1384</v>
      </c>
      <c r="AB348" s="31" t="s">
        <v>1412</v>
      </c>
      <c r="AC348" s="31">
        <v>2244459570</v>
      </c>
      <c r="AD348" s="31">
        <v>2444454510</v>
      </c>
    </row>
    <row r="349" spans="1:30" x14ac:dyDescent="0.2">
      <c r="A349" s="26">
        <v>11434</v>
      </c>
      <c r="B349" s="26">
        <f>VLOOKUP(A349,Hoja1!A:A,1,FALSE)</f>
        <v>11434</v>
      </c>
      <c r="C349" s="27" t="s">
        <v>1413</v>
      </c>
      <c r="D349" s="28" t="s">
        <v>1360</v>
      </c>
      <c r="E349" s="29" t="s">
        <v>16</v>
      </c>
      <c r="F349" s="29" t="s">
        <v>16</v>
      </c>
      <c r="G349" s="30">
        <v>38064</v>
      </c>
      <c r="H349" s="26" t="s">
        <v>49</v>
      </c>
      <c r="I349" s="26" t="s">
        <v>110</v>
      </c>
      <c r="J349" s="26" t="s">
        <v>110</v>
      </c>
      <c r="K349" s="26">
        <v>121446</v>
      </c>
      <c r="L349" s="31" t="s">
        <v>1414</v>
      </c>
      <c r="M349" s="26">
        <v>2349</v>
      </c>
      <c r="N349" s="31" t="s">
        <v>1388</v>
      </c>
      <c r="O349" s="26">
        <v>2225544578</v>
      </c>
      <c r="P349" s="29" t="s">
        <v>2199</v>
      </c>
      <c r="Q349" s="31" t="s">
        <v>17</v>
      </c>
      <c r="R349" s="26">
        <v>5539398490</v>
      </c>
      <c r="S349" s="31" t="s">
        <v>2217</v>
      </c>
      <c r="T349" s="26" t="s">
        <v>19</v>
      </c>
      <c r="U349" s="31" t="s">
        <v>2253</v>
      </c>
      <c r="V349" s="31" t="s">
        <v>1415</v>
      </c>
      <c r="W349" s="31" t="s">
        <v>2082</v>
      </c>
      <c r="X349" s="31" t="s">
        <v>99</v>
      </c>
      <c r="Y349" s="31">
        <v>72820</v>
      </c>
      <c r="Z349" s="31" t="s">
        <v>1384</v>
      </c>
      <c r="AA349" s="31" t="s">
        <v>1384</v>
      </c>
      <c r="AB349" s="31" t="s">
        <v>1416</v>
      </c>
      <c r="AC349" s="31">
        <v>2222251485</v>
      </c>
      <c r="AD349" s="31">
        <v>2222250017</v>
      </c>
    </row>
    <row r="350" spans="1:30" x14ac:dyDescent="0.2">
      <c r="A350" s="26">
        <v>11575</v>
      </c>
      <c r="B350" s="26">
        <f>VLOOKUP(A350,Hoja1!A:A,1,FALSE)</f>
        <v>11575</v>
      </c>
      <c r="C350" s="27" t="s">
        <v>1417</v>
      </c>
      <c r="D350" s="28" t="s">
        <v>1360</v>
      </c>
      <c r="E350" s="29" t="s">
        <v>16</v>
      </c>
      <c r="F350" s="29" t="s">
        <v>16</v>
      </c>
      <c r="G350" s="30">
        <v>42264</v>
      </c>
      <c r="H350" s="26" t="s">
        <v>49</v>
      </c>
      <c r="I350" s="26" t="s">
        <v>110</v>
      </c>
      <c r="J350" s="26" t="s">
        <v>110</v>
      </c>
      <c r="K350" s="26">
        <v>43554</v>
      </c>
      <c r="L350" s="31" t="s">
        <v>1418</v>
      </c>
      <c r="M350" s="26">
        <v>2349</v>
      </c>
      <c r="N350" s="31" t="s">
        <v>1388</v>
      </c>
      <c r="O350" s="26">
        <v>2225544578</v>
      </c>
      <c r="P350" s="29" t="s">
        <v>2199</v>
      </c>
      <c r="Q350" s="31" t="s">
        <v>17</v>
      </c>
      <c r="R350" s="26">
        <v>5539398490</v>
      </c>
      <c r="S350" s="31" t="s">
        <v>2217</v>
      </c>
      <c r="T350" s="26" t="s">
        <v>19</v>
      </c>
      <c r="U350" s="31" t="s">
        <v>2253</v>
      </c>
      <c r="V350" s="31" t="s">
        <v>1419</v>
      </c>
      <c r="W350" s="31" t="s">
        <v>1420</v>
      </c>
      <c r="X350" s="31" t="s">
        <v>99</v>
      </c>
      <c r="Y350" s="31">
        <v>72830</v>
      </c>
      <c r="Z350" s="31" t="s">
        <v>1384</v>
      </c>
      <c r="AA350" s="31" t="s">
        <v>1384</v>
      </c>
      <c r="AB350" s="31" t="s">
        <v>1421</v>
      </c>
      <c r="AC350" s="31">
        <v>2222838266</v>
      </c>
      <c r="AD350" s="31">
        <v>2222838268</v>
      </c>
    </row>
    <row r="351" spans="1:30" x14ac:dyDescent="0.2">
      <c r="A351" s="26">
        <v>11864</v>
      </c>
      <c r="B351" s="26">
        <f>VLOOKUP(A351,Hoja1!A:A,1,FALSE)</f>
        <v>11864</v>
      </c>
      <c r="C351" s="27" t="s">
        <v>1422</v>
      </c>
      <c r="D351" s="28" t="s">
        <v>1360</v>
      </c>
      <c r="E351" s="29" t="s">
        <v>16</v>
      </c>
      <c r="F351" s="29" t="s">
        <v>16</v>
      </c>
      <c r="G351" s="30">
        <v>38472</v>
      </c>
      <c r="H351" s="26" t="s">
        <v>49</v>
      </c>
      <c r="I351" s="26" t="s">
        <v>50</v>
      </c>
      <c r="J351" s="26" t="s">
        <v>87</v>
      </c>
      <c r="K351" s="26">
        <v>35392</v>
      </c>
      <c r="L351" s="31" t="s">
        <v>2117</v>
      </c>
      <c r="M351" s="26">
        <v>2349</v>
      </c>
      <c r="N351" s="31" t="s">
        <v>1388</v>
      </c>
      <c r="O351" s="26">
        <v>2225544578</v>
      </c>
      <c r="P351" s="29" t="s">
        <v>2199</v>
      </c>
      <c r="Q351" s="31" t="s">
        <v>17</v>
      </c>
      <c r="R351" s="26">
        <v>5539398490</v>
      </c>
      <c r="S351" s="31" t="s">
        <v>2217</v>
      </c>
      <c r="T351" s="26" t="s">
        <v>19</v>
      </c>
      <c r="U351" s="31" t="s">
        <v>2253</v>
      </c>
      <c r="V351" s="31" t="s">
        <v>1423</v>
      </c>
      <c r="W351" s="31" t="s">
        <v>1424</v>
      </c>
      <c r="X351" s="31" t="s">
        <v>99</v>
      </c>
      <c r="Y351" s="31">
        <v>72470</v>
      </c>
      <c r="Z351" s="31" t="s">
        <v>1384</v>
      </c>
      <c r="AA351" s="31" t="s">
        <v>1384</v>
      </c>
      <c r="AB351" s="31" t="s">
        <v>1425</v>
      </c>
      <c r="AC351" s="31">
        <v>2223951087</v>
      </c>
      <c r="AD351" s="31">
        <v>2223951090</v>
      </c>
    </row>
    <row r="352" spans="1:30" x14ac:dyDescent="0.2">
      <c r="A352" s="26">
        <v>12329</v>
      </c>
      <c r="B352" s="26">
        <f>VLOOKUP(A352,Hoja1!A:A,1,FALSE)</f>
        <v>12329</v>
      </c>
      <c r="C352" s="27" t="s">
        <v>1427</v>
      </c>
      <c r="D352" s="28" t="s">
        <v>1360</v>
      </c>
      <c r="E352" s="29" t="s">
        <v>16</v>
      </c>
      <c r="F352" s="29" t="s">
        <v>16</v>
      </c>
      <c r="G352" s="30">
        <v>43391</v>
      </c>
      <c r="H352" s="26" t="s">
        <v>49</v>
      </c>
      <c r="I352" s="26" t="s">
        <v>110</v>
      </c>
      <c r="J352" s="26" t="s">
        <v>110</v>
      </c>
      <c r="K352" s="26">
        <v>34759</v>
      </c>
      <c r="L352" s="31" t="s">
        <v>1426</v>
      </c>
      <c r="M352" s="26">
        <v>2349</v>
      </c>
      <c r="N352" s="31" t="s">
        <v>1388</v>
      </c>
      <c r="O352" s="26">
        <v>2225544578</v>
      </c>
      <c r="P352" s="29" t="s">
        <v>2199</v>
      </c>
      <c r="Q352" s="31" t="s">
        <v>17</v>
      </c>
      <c r="R352" s="26">
        <v>5539398490</v>
      </c>
      <c r="S352" s="31" t="s">
        <v>2217</v>
      </c>
      <c r="T352" s="26" t="s">
        <v>19</v>
      </c>
      <c r="U352" s="31" t="s">
        <v>2253</v>
      </c>
      <c r="V352" s="31" t="s">
        <v>2083</v>
      </c>
      <c r="W352" s="31" t="s">
        <v>1427</v>
      </c>
      <c r="X352" s="31" t="s">
        <v>99</v>
      </c>
      <c r="Y352" s="31">
        <v>72474</v>
      </c>
      <c r="Z352" s="31" t="s">
        <v>1384</v>
      </c>
      <c r="AA352" s="31" t="s">
        <v>1384</v>
      </c>
      <c r="AB352" s="31" t="s">
        <v>1428</v>
      </c>
      <c r="AC352" s="31">
        <v>2229469879</v>
      </c>
      <c r="AD352" s="31">
        <v>2224540120</v>
      </c>
    </row>
    <row r="353" spans="1:30" x14ac:dyDescent="0.2">
      <c r="A353" s="26">
        <v>11119</v>
      </c>
      <c r="B353" s="26">
        <f>VLOOKUP(A353,Hoja1!A:A,1,FALSE)</f>
        <v>11119</v>
      </c>
      <c r="C353" s="27" t="s">
        <v>1429</v>
      </c>
      <c r="D353" s="28" t="s">
        <v>1360</v>
      </c>
      <c r="E353" s="29" t="s">
        <v>16</v>
      </c>
      <c r="F353" s="29" t="s">
        <v>16</v>
      </c>
      <c r="G353" s="30">
        <v>34458</v>
      </c>
      <c r="H353" s="26" t="s">
        <v>49</v>
      </c>
      <c r="I353" s="26" t="s">
        <v>110</v>
      </c>
      <c r="J353" s="26" t="s">
        <v>110</v>
      </c>
      <c r="K353" s="26">
        <v>35022</v>
      </c>
      <c r="L353" s="31" t="s">
        <v>1430</v>
      </c>
      <c r="M353" s="26">
        <v>2754</v>
      </c>
      <c r="N353" s="31" t="s">
        <v>1431</v>
      </c>
      <c r="O353" s="26">
        <v>2281024600</v>
      </c>
      <c r="P353" s="29" t="s">
        <v>2200</v>
      </c>
      <c r="Q353" s="31" t="s">
        <v>17</v>
      </c>
      <c r="R353" s="26">
        <v>5539398490</v>
      </c>
      <c r="S353" s="31" t="s">
        <v>2217</v>
      </c>
      <c r="T353" s="26" t="s">
        <v>19</v>
      </c>
      <c r="U353" s="31" t="s">
        <v>2253</v>
      </c>
      <c r="V353" s="31" t="s">
        <v>1432</v>
      </c>
      <c r="W353" s="31" t="s">
        <v>1433</v>
      </c>
      <c r="X353" s="31" t="s">
        <v>99</v>
      </c>
      <c r="Y353" s="31">
        <v>91190</v>
      </c>
      <c r="Z353" s="31" t="s">
        <v>1434</v>
      </c>
      <c r="AA353" s="31" t="s">
        <v>1365</v>
      </c>
      <c r="AB353" s="31" t="s">
        <v>1435</v>
      </c>
      <c r="AC353" s="31">
        <v>2288137290</v>
      </c>
      <c r="AD353" s="31">
        <v>2288128585</v>
      </c>
    </row>
    <row r="354" spans="1:30" x14ac:dyDescent="0.2">
      <c r="A354" s="26">
        <v>11216</v>
      </c>
      <c r="B354" s="26">
        <f>VLOOKUP(A354,Hoja1!A:A,1,FALSE)</f>
        <v>11216</v>
      </c>
      <c r="C354" s="27" t="s">
        <v>1436</v>
      </c>
      <c r="D354" s="28" t="s">
        <v>1360</v>
      </c>
      <c r="E354" s="29" t="s">
        <v>16</v>
      </c>
      <c r="F354" s="29" t="s">
        <v>16</v>
      </c>
      <c r="G354" s="30">
        <v>36048</v>
      </c>
      <c r="H354" s="26" t="s">
        <v>49</v>
      </c>
      <c r="I354" s="26" t="s">
        <v>110</v>
      </c>
      <c r="J354" s="26" t="s">
        <v>110</v>
      </c>
      <c r="K354" s="26">
        <v>32846</v>
      </c>
      <c r="L354" s="31" t="s">
        <v>1437</v>
      </c>
      <c r="M354" s="26">
        <v>2754</v>
      </c>
      <c r="N354" s="31" t="s">
        <v>1431</v>
      </c>
      <c r="O354" s="26">
        <v>2281024600</v>
      </c>
      <c r="P354" s="29" t="s">
        <v>2200</v>
      </c>
      <c r="Q354" s="31" t="s">
        <v>17</v>
      </c>
      <c r="R354" s="26">
        <v>5539398490</v>
      </c>
      <c r="S354" s="31" t="s">
        <v>2217</v>
      </c>
      <c r="T354" s="26" t="s">
        <v>19</v>
      </c>
      <c r="U354" s="31" t="s">
        <v>2253</v>
      </c>
      <c r="V354" s="31" t="s">
        <v>1438</v>
      </c>
      <c r="W354" s="31" t="s">
        <v>1439</v>
      </c>
      <c r="X354" s="31" t="s">
        <v>99</v>
      </c>
      <c r="Y354" s="31">
        <v>91030</v>
      </c>
      <c r="Z354" s="31" t="s">
        <v>1434</v>
      </c>
      <c r="AA354" s="31" t="s">
        <v>1365</v>
      </c>
      <c r="AB354" s="31" t="s">
        <v>1440</v>
      </c>
      <c r="AC354" s="31">
        <v>2288904238</v>
      </c>
      <c r="AD354" s="31">
        <v>2288404040</v>
      </c>
    </row>
    <row r="355" spans="1:30" x14ac:dyDescent="0.2">
      <c r="A355" s="26">
        <v>11261</v>
      </c>
      <c r="B355" s="26">
        <f>VLOOKUP(A355,Hoja1!A:A,1,FALSE)</f>
        <v>11261</v>
      </c>
      <c r="C355" s="27" t="s">
        <v>1441</v>
      </c>
      <c r="D355" s="28" t="s">
        <v>1360</v>
      </c>
      <c r="E355" s="29" t="s">
        <v>16</v>
      </c>
      <c r="F355" s="29" t="s">
        <v>16</v>
      </c>
      <c r="G355" s="30">
        <v>36521</v>
      </c>
      <c r="H355" s="26" t="s">
        <v>49</v>
      </c>
      <c r="I355" s="26" t="s">
        <v>110</v>
      </c>
      <c r="J355" s="26" t="s">
        <v>110</v>
      </c>
      <c r="K355" s="26">
        <v>36078</v>
      </c>
      <c r="L355" s="31" t="s">
        <v>1442</v>
      </c>
      <c r="M355" s="26">
        <v>2754</v>
      </c>
      <c r="N355" s="31" t="s">
        <v>1431</v>
      </c>
      <c r="O355" s="26">
        <v>2281024600</v>
      </c>
      <c r="P355" s="29" t="s">
        <v>2200</v>
      </c>
      <c r="Q355" s="31" t="s">
        <v>17</v>
      </c>
      <c r="R355" s="26">
        <v>5539398490</v>
      </c>
      <c r="S355" s="31" t="s">
        <v>2217</v>
      </c>
      <c r="T355" s="26" t="s">
        <v>19</v>
      </c>
      <c r="U355" s="31" t="s">
        <v>2253</v>
      </c>
      <c r="V355" s="31" t="s">
        <v>1443</v>
      </c>
      <c r="W355" s="31" t="s">
        <v>1444</v>
      </c>
      <c r="X355" s="31" t="s">
        <v>99</v>
      </c>
      <c r="Y355" s="31">
        <v>91870</v>
      </c>
      <c r="Z355" s="31" t="s">
        <v>1365</v>
      </c>
      <c r="AA355" s="31" t="s">
        <v>1365</v>
      </c>
      <c r="AB355" s="31" t="s">
        <v>1445</v>
      </c>
      <c r="AC355" s="31">
        <v>2293862891</v>
      </c>
      <c r="AD355" s="31">
        <v>2299389200</v>
      </c>
    </row>
    <row r="356" spans="1:30" x14ac:dyDescent="0.2">
      <c r="A356" s="26">
        <v>11427</v>
      </c>
      <c r="B356" s="26">
        <f>VLOOKUP(A356,Hoja1!A:A,1,FALSE)</f>
        <v>11427</v>
      </c>
      <c r="C356" s="27" t="s">
        <v>1446</v>
      </c>
      <c r="D356" s="28" t="s">
        <v>1360</v>
      </c>
      <c r="E356" s="29" t="s">
        <v>16</v>
      </c>
      <c r="F356" s="29" t="s">
        <v>16</v>
      </c>
      <c r="G356" s="30">
        <v>37821</v>
      </c>
      <c r="H356" s="26" t="s">
        <v>49</v>
      </c>
      <c r="I356" s="26" t="s">
        <v>110</v>
      </c>
      <c r="J356" s="26" t="s">
        <v>110</v>
      </c>
      <c r="K356" s="26">
        <v>38910</v>
      </c>
      <c r="L356" s="31" t="s">
        <v>1447</v>
      </c>
      <c r="M356" s="26">
        <v>2754</v>
      </c>
      <c r="N356" s="31" t="s">
        <v>1431</v>
      </c>
      <c r="O356" s="26">
        <v>2281024600</v>
      </c>
      <c r="P356" s="29" t="s">
        <v>2200</v>
      </c>
      <c r="Q356" s="31" t="s">
        <v>17</v>
      </c>
      <c r="R356" s="26">
        <v>5539398490</v>
      </c>
      <c r="S356" s="31" t="s">
        <v>2217</v>
      </c>
      <c r="T356" s="26" t="s">
        <v>19</v>
      </c>
      <c r="U356" s="31" t="s">
        <v>2253</v>
      </c>
      <c r="V356" s="31" t="s">
        <v>1448</v>
      </c>
      <c r="W356" s="31" t="s">
        <v>1449</v>
      </c>
      <c r="X356" s="31" t="s">
        <v>99</v>
      </c>
      <c r="Y356" s="31">
        <v>91800</v>
      </c>
      <c r="Z356" s="31" t="s">
        <v>1365</v>
      </c>
      <c r="AA356" s="31" t="s">
        <v>1365</v>
      </c>
      <c r="AB356" s="31" t="s">
        <v>1450</v>
      </c>
      <c r="AC356" s="31">
        <v>2293862881</v>
      </c>
      <c r="AD356" s="31">
        <v>2299868445</v>
      </c>
    </row>
    <row r="357" spans="1:30" x14ac:dyDescent="0.2">
      <c r="A357" s="26">
        <v>11466</v>
      </c>
      <c r="B357" s="26">
        <f>VLOOKUP(A357,Hoja1!A:A,1,FALSE)</f>
        <v>11466</v>
      </c>
      <c r="C357" s="27" t="s">
        <v>1451</v>
      </c>
      <c r="D357" s="28" t="s">
        <v>1360</v>
      </c>
      <c r="E357" s="29" t="s">
        <v>16</v>
      </c>
      <c r="F357" s="29" t="s">
        <v>16</v>
      </c>
      <c r="G357" s="30">
        <v>38583</v>
      </c>
      <c r="H357" s="26" t="s">
        <v>49</v>
      </c>
      <c r="I357" s="26" t="s">
        <v>110</v>
      </c>
      <c r="J357" s="26" t="s">
        <v>110</v>
      </c>
      <c r="K357" s="26">
        <v>11245</v>
      </c>
      <c r="L357" s="31" t="s">
        <v>1452</v>
      </c>
      <c r="M357" s="26">
        <v>2754</v>
      </c>
      <c r="N357" s="31" t="s">
        <v>1431</v>
      </c>
      <c r="O357" s="26">
        <v>2281024600</v>
      </c>
      <c r="P357" s="29" t="s">
        <v>2200</v>
      </c>
      <c r="Q357" s="31" t="s">
        <v>17</v>
      </c>
      <c r="R357" s="26">
        <v>5539398490</v>
      </c>
      <c r="S357" s="31" t="s">
        <v>2217</v>
      </c>
      <c r="T357" s="26" t="s">
        <v>19</v>
      </c>
      <c r="U357" s="31" t="s">
        <v>2253</v>
      </c>
      <c r="V357" s="31" t="s">
        <v>2084</v>
      </c>
      <c r="W357" s="31" t="s">
        <v>1453</v>
      </c>
      <c r="X357" s="31" t="s">
        <v>99</v>
      </c>
      <c r="Y357" s="31">
        <v>91697</v>
      </c>
      <c r="Z357" s="31" t="s">
        <v>1365</v>
      </c>
      <c r="AA357" s="31" t="s">
        <v>1365</v>
      </c>
      <c r="AB357" s="31" t="s">
        <v>1454</v>
      </c>
      <c r="AC357" s="31">
        <v>2293863830</v>
      </c>
      <c r="AD357" s="31">
        <v>2299813425</v>
      </c>
    </row>
    <row r="358" spans="1:30" x14ac:dyDescent="0.2">
      <c r="A358" s="26">
        <v>11498</v>
      </c>
      <c r="B358" s="26">
        <f>VLOOKUP(A358,Hoja1!A:A,1,FALSE)</f>
        <v>11498</v>
      </c>
      <c r="C358" s="27" t="s">
        <v>1455</v>
      </c>
      <c r="D358" s="28" t="s">
        <v>1360</v>
      </c>
      <c r="E358" s="29" t="s">
        <v>16</v>
      </c>
      <c r="F358" s="29" t="s">
        <v>16</v>
      </c>
      <c r="G358" s="30">
        <v>39304</v>
      </c>
      <c r="H358" s="26" t="s">
        <v>49</v>
      </c>
      <c r="I358" s="26" t="s">
        <v>110</v>
      </c>
      <c r="J358" s="26" t="s">
        <v>110</v>
      </c>
      <c r="K358" s="26">
        <v>85831</v>
      </c>
      <c r="L358" s="31" t="s">
        <v>1456</v>
      </c>
      <c r="M358" s="26">
        <v>2754</v>
      </c>
      <c r="N358" s="31" t="s">
        <v>1431</v>
      </c>
      <c r="O358" s="26">
        <v>2281024600</v>
      </c>
      <c r="P358" s="29" t="s">
        <v>2200</v>
      </c>
      <c r="Q358" s="31" t="s">
        <v>17</v>
      </c>
      <c r="R358" s="26">
        <v>5539398490</v>
      </c>
      <c r="S358" s="31" t="s">
        <v>2217</v>
      </c>
      <c r="T358" s="26" t="s">
        <v>19</v>
      </c>
      <c r="U358" s="31" t="s">
        <v>2253</v>
      </c>
      <c r="V358" s="31" t="s">
        <v>1457</v>
      </c>
      <c r="W358" s="31" t="s">
        <v>1458</v>
      </c>
      <c r="X358" s="31" t="s">
        <v>99</v>
      </c>
      <c r="Y358" s="31">
        <v>91110</v>
      </c>
      <c r="Z358" s="31" t="s">
        <v>1434</v>
      </c>
      <c r="AA358" s="31" t="s">
        <v>1365</v>
      </c>
      <c r="AB358" s="31" t="s">
        <v>1459</v>
      </c>
      <c r="AC358" s="31">
        <v>2288905856</v>
      </c>
      <c r="AD358" s="31">
        <v>2288905550</v>
      </c>
    </row>
    <row r="359" spans="1:30" x14ac:dyDescent="0.2">
      <c r="A359" s="26">
        <v>11562</v>
      </c>
      <c r="B359" s="26">
        <f>VLOOKUP(A359,Hoja1!A:A,1,FALSE)</f>
        <v>11562</v>
      </c>
      <c r="C359" s="27" t="s">
        <v>1460</v>
      </c>
      <c r="D359" s="28" t="s">
        <v>1360</v>
      </c>
      <c r="E359" s="29" t="s">
        <v>16</v>
      </c>
      <c r="F359" s="29" t="s">
        <v>16</v>
      </c>
      <c r="G359" s="30">
        <v>41937</v>
      </c>
      <c r="H359" s="26" t="s">
        <v>49</v>
      </c>
      <c r="I359" s="26" t="s">
        <v>110</v>
      </c>
      <c r="J359" s="26" t="s">
        <v>110</v>
      </c>
      <c r="K359" s="26">
        <v>121527</v>
      </c>
      <c r="L359" s="31" t="s">
        <v>1461</v>
      </c>
      <c r="M359" s="26">
        <v>2754</v>
      </c>
      <c r="N359" s="31" t="s">
        <v>1431</v>
      </c>
      <c r="O359" s="26">
        <v>2281024600</v>
      </c>
      <c r="P359" s="29" t="s">
        <v>2200</v>
      </c>
      <c r="Q359" s="31" t="s">
        <v>17</v>
      </c>
      <c r="R359" s="26">
        <v>5539398490</v>
      </c>
      <c r="S359" s="31" t="s">
        <v>2217</v>
      </c>
      <c r="T359" s="26" t="s">
        <v>19</v>
      </c>
      <c r="U359" s="31" t="s">
        <v>2253</v>
      </c>
      <c r="V359" s="31" t="s">
        <v>1462</v>
      </c>
      <c r="W359" s="31" t="s">
        <v>1463</v>
      </c>
      <c r="X359" s="31" t="s">
        <v>99</v>
      </c>
      <c r="Y359" s="31">
        <v>91697</v>
      </c>
      <c r="Z359" s="31" t="s">
        <v>1365</v>
      </c>
      <c r="AA359" s="31" t="s">
        <v>1365</v>
      </c>
      <c r="AB359" s="31" t="s">
        <v>1464</v>
      </c>
      <c r="AC359" s="31">
        <v>2296882872</v>
      </c>
      <c r="AD359" s="31">
        <v>2296882909</v>
      </c>
    </row>
    <row r="360" spans="1:30" x14ac:dyDescent="0.2">
      <c r="A360" s="26">
        <v>11646</v>
      </c>
      <c r="B360" s="26">
        <f>VLOOKUP(A360,Hoja1!A:A,1,FALSE)</f>
        <v>11646</v>
      </c>
      <c r="C360" s="27" t="s">
        <v>1465</v>
      </c>
      <c r="D360" s="28" t="s">
        <v>1360</v>
      </c>
      <c r="E360" s="29" t="s">
        <v>16</v>
      </c>
      <c r="F360" s="29" t="s">
        <v>16</v>
      </c>
      <c r="G360" s="30">
        <v>43092</v>
      </c>
      <c r="H360" s="26" t="s">
        <v>49</v>
      </c>
      <c r="I360" s="26" t="s">
        <v>110</v>
      </c>
      <c r="J360" s="26" t="s">
        <v>110</v>
      </c>
      <c r="K360" s="26">
        <v>85222</v>
      </c>
      <c r="L360" s="31" t="s">
        <v>1466</v>
      </c>
      <c r="M360" s="26">
        <v>2754</v>
      </c>
      <c r="N360" s="31" t="s">
        <v>1431</v>
      </c>
      <c r="O360" s="26">
        <v>2281024600</v>
      </c>
      <c r="P360" s="29" t="s">
        <v>2200</v>
      </c>
      <c r="Q360" s="31" t="s">
        <v>17</v>
      </c>
      <c r="R360" s="26">
        <v>5539398490</v>
      </c>
      <c r="S360" s="31" t="s">
        <v>2217</v>
      </c>
      <c r="T360" s="26" t="s">
        <v>19</v>
      </c>
      <c r="U360" s="31" t="s">
        <v>2253</v>
      </c>
      <c r="V360" s="31" t="s">
        <v>1467</v>
      </c>
      <c r="W360" s="31" t="s">
        <v>1468</v>
      </c>
      <c r="X360" s="31" t="s">
        <v>1469</v>
      </c>
      <c r="Y360" s="31">
        <v>91194</v>
      </c>
      <c r="Z360" s="31" t="s">
        <v>1365</v>
      </c>
      <c r="AA360" s="31" t="s">
        <v>1365</v>
      </c>
      <c r="AB360" s="31" t="s">
        <v>1470</v>
      </c>
      <c r="AC360" s="31">
        <v>2286882938</v>
      </c>
      <c r="AD360" s="31">
        <v>2286882222</v>
      </c>
    </row>
    <row r="361" spans="1:30" x14ac:dyDescent="0.2">
      <c r="A361" s="26">
        <v>11798</v>
      </c>
      <c r="B361" s="26">
        <f>VLOOKUP(A361,Hoja1!A:A,1,FALSE)</f>
        <v>11798</v>
      </c>
      <c r="C361" s="27" t="s">
        <v>1471</v>
      </c>
      <c r="D361" s="28" t="s">
        <v>1360</v>
      </c>
      <c r="E361" s="29" t="s">
        <v>16</v>
      </c>
      <c r="F361" s="29" t="s">
        <v>16</v>
      </c>
      <c r="G361" s="30">
        <v>36708</v>
      </c>
      <c r="H361" s="26" t="s">
        <v>49</v>
      </c>
      <c r="I361" s="26" t="s">
        <v>50</v>
      </c>
      <c r="J361" s="26" t="s">
        <v>87</v>
      </c>
      <c r="K361" s="26">
        <v>121782</v>
      </c>
      <c r="L361" s="31" t="s">
        <v>2118</v>
      </c>
      <c r="M361" s="26">
        <v>2754</v>
      </c>
      <c r="N361" s="31" t="s">
        <v>1431</v>
      </c>
      <c r="O361" s="26">
        <v>2281024600</v>
      </c>
      <c r="P361" s="29" t="s">
        <v>2200</v>
      </c>
      <c r="Q361" s="31" t="s">
        <v>17</v>
      </c>
      <c r="R361" s="26">
        <v>5539398490</v>
      </c>
      <c r="S361" s="31" t="s">
        <v>2217</v>
      </c>
      <c r="T361" s="26" t="s">
        <v>19</v>
      </c>
      <c r="U361" s="31" t="s">
        <v>2253</v>
      </c>
      <c r="V361" s="31" t="s">
        <v>1472</v>
      </c>
      <c r="W361" s="31" t="s">
        <v>1473</v>
      </c>
      <c r="X361" s="31" t="s">
        <v>99</v>
      </c>
      <c r="Y361" s="31">
        <v>91190</v>
      </c>
      <c r="Z361" s="31" t="s">
        <v>1434</v>
      </c>
      <c r="AA361" s="31" t="s">
        <v>1365</v>
      </c>
      <c r="AB361" s="31" t="s">
        <v>1474</v>
      </c>
      <c r="AC361" s="31">
        <v>2288139353</v>
      </c>
      <c r="AD361" s="31">
        <v>2288136042</v>
      </c>
    </row>
    <row r="362" spans="1:30" x14ac:dyDescent="0.2">
      <c r="A362" s="26">
        <v>11875</v>
      </c>
      <c r="B362" s="26">
        <f>VLOOKUP(A362,Hoja1!A:A,1,FALSE)</f>
        <v>11875</v>
      </c>
      <c r="C362" s="27" t="s">
        <v>1475</v>
      </c>
      <c r="D362" s="28" t="s">
        <v>1360</v>
      </c>
      <c r="E362" s="29" t="s">
        <v>16</v>
      </c>
      <c r="F362" s="29" t="s">
        <v>16</v>
      </c>
      <c r="G362" s="30">
        <v>38806</v>
      </c>
      <c r="H362" s="26" t="s">
        <v>49</v>
      </c>
      <c r="I362" s="26" t="s">
        <v>50</v>
      </c>
      <c r="J362" s="26" t="s">
        <v>50</v>
      </c>
      <c r="K362" s="26">
        <v>35585</v>
      </c>
      <c r="L362" s="31" t="s">
        <v>1476</v>
      </c>
      <c r="M362" s="26">
        <v>2754</v>
      </c>
      <c r="N362" s="31" t="s">
        <v>1431</v>
      </c>
      <c r="O362" s="26">
        <v>2281024600</v>
      </c>
      <c r="P362" s="29" t="s">
        <v>2200</v>
      </c>
      <c r="Q362" s="31" t="s">
        <v>17</v>
      </c>
      <c r="R362" s="26">
        <v>5539398490</v>
      </c>
      <c r="S362" s="31" t="s">
        <v>2217</v>
      </c>
      <c r="T362" s="26" t="s">
        <v>19</v>
      </c>
      <c r="U362" s="31" t="s">
        <v>2253</v>
      </c>
      <c r="V362" s="31" t="s">
        <v>1477</v>
      </c>
      <c r="W362" s="31" t="s">
        <v>1478</v>
      </c>
      <c r="X362" s="31" t="s">
        <v>99</v>
      </c>
      <c r="Y362" s="31">
        <v>91193</v>
      </c>
      <c r="Z362" s="31" t="s">
        <v>1434</v>
      </c>
      <c r="AA362" s="31" t="s">
        <v>1365</v>
      </c>
      <c r="AB362" s="31" t="s">
        <v>1479</v>
      </c>
      <c r="AC362" s="31">
        <v>2288135732</v>
      </c>
      <c r="AD362" s="31">
        <v>2288135732</v>
      </c>
    </row>
    <row r="363" spans="1:30" x14ac:dyDescent="0.2">
      <c r="A363" s="26">
        <v>11160</v>
      </c>
      <c r="B363" s="26">
        <f>VLOOKUP(A363,Hoja1!A:A,1,FALSE)</f>
        <v>11160</v>
      </c>
      <c r="C363" s="27" t="s">
        <v>1480</v>
      </c>
      <c r="D363" s="28" t="s">
        <v>1360</v>
      </c>
      <c r="E363" s="29" t="s">
        <v>16</v>
      </c>
      <c r="F363" s="29" t="s">
        <v>16</v>
      </c>
      <c r="G363" s="30">
        <v>35716</v>
      </c>
      <c r="H363" s="26" t="s">
        <v>49</v>
      </c>
      <c r="I363" s="26" t="s">
        <v>110</v>
      </c>
      <c r="J363" s="26" t="s">
        <v>110</v>
      </c>
      <c r="K363" s="26">
        <v>102634</v>
      </c>
      <c r="L363" s="31" t="s">
        <v>1481</v>
      </c>
      <c r="M363" s="26">
        <v>3115</v>
      </c>
      <c r="N363" s="31" t="s">
        <v>1482</v>
      </c>
      <c r="O363" s="26">
        <v>5541302274</v>
      </c>
      <c r="P363" s="29" t="s">
        <v>2201</v>
      </c>
      <c r="Q363" s="31" t="s">
        <v>17</v>
      </c>
      <c r="R363" s="26">
        <v>5539398490</v>
      </c>
      <c r="S363" s="31" t="s">
        <v>2217</v>
      </c>
      <c r="T363" s="26" t="s">
        <v>19</v>
      </c>
      <c r="U363" s="31" t="s">
        <v>2253</v>
      </c>
      <c r="V363" s="31" t="s">
        <v>1483</v>
      </c>
      <c r="W363" s="31" t="s">
        <v>1484</v>
      </c>
      <c r="X363" s="31" t="s">
        <v>199</v>
      </c>
      <c r="Y363" s="31">
        <v>57730</v>
      </c>
      <c r="Z363" s="31" t="s">
        <v>118</v>
      </c>
      <c r="AA363" s="31" t="s">
        <v>118</v>
      </c>
      <c r="AB363" s="31" t="s">
        <v>1485</v>
      </c>
      <c r="AC363" s="31">
        <v>5557975632</v>
      </c>
      <c r="AD363" s="31">
        <v>5557977997</v>
      </c>
    </row>
    <row r="364" spans="1:30" x14ac:dyDescent="0.2">
      <c r="A364" s="26">
        <v>11177</v>
      </c>
      <c r="B364" s="26">
        <f>VLOOKUP(A364,Hoja1!A:A,1,FALSE)</f>
        <v>11177</v>
      </c>
      <c r="C364" s="27" t="s">
        <v>1486</v>
      </c>
      <c r="D364" s="28" t="s">
        <v>1360</v>
      </c>
      <c r="E364" s="29" t="s">
        <v>16</v>
      </c>
      <c r="F364" s="29" t="s">
        <v>16</v>
      </c>
      <c r="G364" s="30">
        <v>35975</v>
      </c>
      <c r="H364" s="26" t="s">
        <v>49</v>
      </c>
      <c r="I364" s="26" t="s">
        <v>110</v>
      </c>
      <c r="J364" s="26" t="s">
        <v>110</v>
      </c>
      <c r="K364" s="26">
        <v>36438</v>
      </c>
      <c r="L364" s="31" t="s">
        <v>1487</v>
      </c>
      <c r="M364" s="26">
        <v>3115</v>
      </c>
      <c r="N364" s="31" t="s">
        <v>1482</v>
      </c>
      <c r="O364" s="26">
        <v>5541302274</v>
      </c>
      <c r="P364" s="29" t="s">
        <v>2201</v>
      </c>
      <c r="Q364" s="31" t="s">
        <v>17</v>
      </c>
      <c r="R364" s="26">
        <v>5539398490</v>
      </c>
      <c r="S364" s="31" t="s">
        <v>2217</v>
      </c>
      <c r="T364" s="26" t="s">
        <v>19</v>
      </c>
      <c r="U364" s="31" t="s">
        <v>2253</v>
      </c>
      <c r="V364" s="31" t="s">
        <v>1488</v>
      </c>
      <c r="W364" s="31" t="s">
        <v>1486</v>
      </c>
      <c r="X364" s="31" t="s">
        <v>406</v>
      </c>
      <c r="Y364" s="31">
        <v>9510</v>
      </c>
      <c r="Z364" s="31" t="s">
        <v>57</v>
      </c>
      <c r="AA364" s="31" t="s">
        <v>57</v>
      </c>
      <c r="AB364" s="31" t="s">
        <v>1489</v>
      </c>
      <c r="AC364" s="31">
        <v>5557320335</v>
      </c>
      <c r="AD364" s="31">
        <v>5557330064</v>
      </c>
    </row>
    <row r="365" spans="1:30" x14ac:dyDescent="0.2">
      <c r="A365" s="26">
        <v>11285</v>
      </c>
      <c r="B365" s="26">
        <f>VLOOKUP(A365,Hoja1!A:A,1,FALSE)</f>
        <v>11285</v>
      </c>
      <c r="C365" s="27" t="s">
        <v>1491</v>
      </c>
      <c r="D365" s="28" t="s">
        <v>1360</v>
      </c>
      <c r="E365" s="29" t="s">
        <v>16</v>
      </c>
      <c r="F365" s="29" t="s">
        <v>16</v>
      </c>
      <c r="G365" s="30">
        <v>36566</v>
      </c>
      <c r="H365" s="26" t="s">
        <v>49</v>
      </c>
      <c r="I365" s="26" t="s">
        <v>110</v>
      </c>
      <c r="J365" s="26" t="s">
        <v>110</v>
      </c>
      <c r="K365" s="26">
        <v>12504</v>
      </c>
      <c r="L365" s="31" t="s">
        <v>2246</v>
      </c>
      <c r="M365" s="26">
        <v>3115</v>
      </c>
      <c r="N365" s="31" t="s">
        <v>1482</v>
      </c>
      <c r="O365" s="26">
        <v>5541302274</v>
      </c>
      <c r="P365" s="29" t="s">
        <v>2201</v>
      </c>
      <c r="Q365" s="31" t="s">
        <v>17</v>
      </c>
      <c r="R365" s="26">
        <v>5539398490</v>
      </c>
      <c r="S365" s="31" t="s">
        <v>2217</v>
      </c>
      <c r="T365" s="26" t="s">
        <v>19</v>
      </c>
      <c r="U365" s="31" t="s">
        <v>2253</v>
      </c>
      <c r="V365" s="31" t="s">
        <v>1492</v>
      </c>
      <c r="W365" s="31" t="s">
        <v>1491</v>
      </c>
      <c r="X365" s="31" t="s">
        <v>1493</v>
      </c>
      <c r="Y365" s="31">
        <v>56400</v>
      </c>
      <c r="Z365" s="31" t="s">
        <v>118</v>
      </c>
      <c r="AA365" s="31" t="s">
        <v>118</v>
      </c>
      <c r="AB365" s="31" t="s">
        <v>1494</v>
      </c>
      <c r="AC365" s="31">
        <v>5558585132</v>
      </c>
      <c r="AD365" s="31">
        <v>5558585151</v>
      </c>
    </row>
    <row r="366" spans="1:30" x14ac:dyDescent="0.2">
      <c r="A366" s="26">
        <v>11324</v>
      </c>
      <c r="B366" s="26">
        <f>VLOOKUP(A366,Hoja1!A:A,1,FALSE)</f>
        <v>11324</v>
      </c>
      <c r="C366" s="27" t="s">
        <v>1495</v>
      </c>
      <c r="D366" s="28" t="s">
        <v>1360</v>
      </c>
      <c r="E366" s="29" t="s">
        <v>16</v>
      </c>
      <c r="F366" s="29" t="s">
        <v>16</v>
      </c>
      <c r="G366" s="30">
        <v>36738</v>
      </c>
      <c r="H366" s="26" t="s">
        <v>49</v>
      </c>
      <c r="I366" s="26" t="s">
        <v>110</v>
      </c>
      <c r="J366" s="26" t="s">
        <v>110</v>
      </c>
      <c r="K366" s="26">
        <v>38985</v>
      </c>
      <c r="L366" s="31" t="s">
        <v>1496</v>
      </c>
      <c r="M366" s="26">
        <v>3115</v>
      </c>
      <c r="N366" s="31" t="s">
        <v>1482</v>
      </c>
      <c r="O366" s="26">
        <v>5541302274</v>
      </c>
      <c r="P366" s="29" t="s">
        <v>2201</v>
      </c>
      <c r="Q366" s="31" t="s">
        <v>17</v>
      </c>
      <c r="R366" s="26">
        <v>5539398490</v>
      </c>
      <c r="S366" s="31" t="s">
        <v>2217</v>
      </c>
      <c r="T366" s="26" t="s">
        <v>19</v>
      </c>
      <c r="U366" s="31" t="s">
        <v>2253</v>
      </c>
      <c r="V366" s="31" t="s">
        <v>1497</v>
      </c>
      <c r="W366" s="31" t="s">
        <v>1498</v>
      </c>
      <c r="X366" s="31" t="s">
        <v>1495</v>
      </c>
      <c r="Y366" s="31">
        <v>56566</v>
      </c>
      <c r="Z366" s="31" t="s">
        <v>118</v>
      </c>
      <c r="AA366" s="31" t="s">
        <v>118</v>
      </c>
      <c r="AB366" s="31" t="s">
        <v>1499</v>
      </c>
      <c r="AC366" s="31">
        <v>5559723429</v>
      </c>
      <c r="AD366" s="31">
        <v>5559722020</v>
      </c>
    </row>
    <row r="367" spans="1:30" x14ac:dyDescent="0.2">
      <c r="A367" s="26">
        <v>11337</v>
      </c>
      <c r="B367" s="26">
        <f>VLOOKUP(A367,Hoja1!A:A,1,FALSE)</f>
        <v>11337</v>
      </c>
      <c r="C367" s="27" t="s">
        <v>1500</v>
      </c>
      <c r="D367" s="28" t="s">
        <v>1360</v>
      </c>
      <c r="E367" s="29" t="s">
        <v>16</v>
      </c>
      <c r="F367" s="29" t="s">
        <v>16</v>
      </c>
      <c r="G367" s="30">
        <v>36738</v>
      </c>
      <c r="H367" s="26" t="s">
        <v>49</v>
      </c>
      <c r="I367" s="26" t="s">
        <v>110</v>
      </c>
      <c r="J367" s="26" t="s">
        <v>110</v>
      </c>
      <c r="K367" s="26">
        <v>104917</v>
      </c>
      <c r="L367" s="31" t="s">
        <v>1501</v>
      </c>
      <c r="M367" s="26">
        <v>3115</v>
      </c>
      <c r="N367" s="31" t="s">
        <v>1482</v>
      </c>
      <c r="O367" s="26">
        <v>5541302274</v>
      </c>
      <c r="P367" s="29" t="s">
        <v>2201</v>
      </c>
      <c r="Q367" s="31" t="s">
        <v>17</v>
      </c>
      <c r="R367" s="26">
        <v>5539398490</v>
      </c>
      <c r="S367" s="31" t="s">
        <v>2217</v>
      </c>
      <c r="T367" s="26" t="s">
        <v>19</v>
      </c>
      <c r="U367" s="31" t="s">
        <v>2253</v>
      </c>
      <c r="V367" s="31" t="s">
        <v>1502</v>
      </c>
      <c r="W367" s="31" t="s">
        <v>1503</v>
      </c>
      <c r="X367" s="31" t="s">
        <v>199</v>
      </c>
      <c r="Y367" s="31">
        <v>57430</v>
      </c>
      <c r="Z367" s="31" t="s">
        <v>57</v>
      </c>
      <c r="AA367" s="31" t="s">
        <v>57</v>
      </c>
      <c r="AB367" s="31" t="s">
        <v>1504</v>
      </c>
      <c r="AC367" s="31">
        <v>5557569139</v>
      </c>
      <c r="AD367" s="31">
        <v>5557566000</v>
      </c>
    </row>
    <row r="368" spans="1:30" x14ac:dyDescent="0.2">
      <c r="A368" s="26">
        <v>11430</v>
      </c>
      <c r="B368" s="26">
        <f>VLOOKUP(A368,Hoja1!A:A,1,FALSE)</f>
        <v>11430</v>
      </c>
      <c r="C368" s="27" t="s">
        <v>2085</v>
      </c>
      <c r="D368" s="28" t="s">
        <v>1360</v>
      </c>
      <c r="E368" s="29" t="s">
        <v>16</v>
      </c>
      <c r="F368" s="29" t="s">
        <v>16</v>
      </c>
      <c r="G368" s="30">
        <v>37921</v>
      </c>
      <c r="H368" s="26" t="s">
        <v>49</v>
      </c>
      <c r="I368" s="26" t="s">
        <v>110</v>
      </c>
      <c r="J368" s="26" t="s">
        <v>110</v>
      </c>
      <c r="K368" s="26">
        <v>35461</v>
      </c>
      <c r="L368" s="31" t="s">
        <v>1505</v>
      </c>
      <c r="M368" s="26">
        <v>3115</v>
      </c>
      <c r="N368" s="31" t="s">
        <v>1482</v>
      </c>
      <c r="O368" s="26">
        <v>5541302274</v>
      </c>
      <c r="P368" s="29" t="s">
        <v>2201</v>
      </c>
      <c r="Q368" s="31" t="s">
        <v>17</v>
      </c>
      <c r="R368" s="26">
        <v>5539398490</v>
      </c>
      <c r="S368" s="31" t="s">
        <v>2217</v>
      </c>
      <c r="T368" s="26" t="s">
        <v>19</v>
      </c>
      <c r="U368" s="31" t="s">
        <v>2253</v>
      </c>
      <c r="V368" s="31" t="s">
        <v>1506</v>
      </c>
      <c r="W368" s="31" t="s">
        <v>56</v>
      </c>
      <c r="X368" s="31" t="s">
        <v>199</v>
      </c>
      <c r="Y368" s="31">
        <v>57000</v>
      </c>
      <c r="Z368" s="31" t="s">
        <v>118</v>
      </c>
      <c r="AA368" s="31" t="s">
        <v>118</v>
      </c>
      <c r="AB368" s="31" t="s">
        <v>1507</v>
      </c>
      <c r="AC368" s="31">
        <v>5576527962</v>
      </c>
      <c r="AD368" s="31">
        <v>5511083333</v>
      </c>
    </row>
    <row r="369" spans="1:30" x14ac:dyDescent="0.2">
      <c r="A369" s="26">
        <v>11459</v>
      </c>
      <c r="B369" s="26">
        <f>VLOOKUP(A369,Hoja1!A:A,1,FALSE)</f>
        <v>11459</v>
      </c>
      <c r="C369" s="27" t="s">
        <v>1508</v>
      </c>
      <c r="D369" s="28" t="s">
        <v>1360</v>
      </c>
      <c r="E369" s="29" t="s">
        <v>16</v>
      </c>
      <c r="F369" s="29" t="s">
        <v>16</v>
      </c>
      <c r="G369" s="30">
        <v>38417</v>
      </c>
      <c r="H369" s="26" t="s">
        <v>49</v>
      </c>
      <c r="I369" s="26" t="s">
        <v>110</v>
      </c>
      <c r="J369" s="26" t="s">
        <v>110</v>
      </c>
      <c r="K369" s="26">
        <v>39134</v>
      </c>
      <c r="L369" s="31" t="s">
        <v>1509</v>
      </c>
      <c r="M369" s="26">
        <v>3115</v>
      </c>
      <c r="N369" s="31" t="s">
        <v>1482</v>
      </c>
      <c r="O369" s="26">
        <v>5541302274</v>
      </c>
      <c r="P369" s="29" t="s">
        <v>2201</v>
      </c>
      <c r="Q369" s="31" t="s">
        <v>17</v>
      </c>
      <c r="R369" s="26">
        <v>5539398490</v>
      </c>
      <c r="S369" s="31" t="s">
        <v>2217</v>
      </c>
      <c r="T369" s="26" t="s">
        <v>19</v>
      </c>
      <c r="U369" s="31" t="s">
        <v>2253</v>
      </c>
      <c r="V369" s="31" t="s">
        <v>1510</v>
      </c>
      <c r="W369" s="31" t="s">
        <v>2086</v>
      </c>
      <c r="X369" s="31" t="s">
        <v>1495</v>
      </c>
      <c r="Y369" s="31">
        <v>56530</v>
      </c>
      <c r="Z369" s="31" t="s">
        <v>118</v>
      </c>
      <c r="AA369" s="31" t="s">
        <v>118</v>
      </c>
      <c r="AB369" s="31" t="s">
        <v>1511</v>
      </c>
      <c r="AC369" s="31">
        <v>5525969236</v>
      </c>
      <c r="AD369" s="31">
        <v>5525926650</v>
      </c>
    </row>
    <row r="370" spans="1:30" x14ac:dyDescent="0.2">
      <c r="A370" s="26">
        <v>11599</v>
      </c>
      <c r="B370" s="26">
        <f>VLOOKUP(A370,Hoja1!A:A,1,FALSE)</f>
        <v>11599</v>
      </c>
      <c r="C370" s="27" t="s">
        <v>1512</v>
      </c>
      <c r="D370" s="28" t="s">
        <v>1360</v>
      </c>
      <c r="E370" s="29" t="s">
        <v>16</v>
      </c>
      <c r="F370" s="29" t="s">
        <v>16</v>
      </c>
      <c r="G370" s="30">
        <v>42633</v>
      </c>
      <c r="H370" s="26" t="s">
        <v>49</v>
      </c>
      <c r="I370" s="26" t="s">
        <v>110</v>
      </c>
      <c r="J370" s="26" t="s">
        <v>110</v>
      </c>
      <c r="K370" s="26">
        <v>39276</v>
      </c>
      <c r="L370" s="31" t="s">
        <v>1513</v>
      </c>
      <c r="M370" s="26">
        <v>3115</v>
      </c>
      <c r="N370" s="31" t="s">
        <v>1482</v>
      </c>
      <c r="O370" s="26">
        <v>5541302274</v>
      </c>
      <c r="P370" s="29" t="s">
        <v>2201</v>
      </c>
      <c r="Q370" s="31" t="s">
        <v>17</v>
      </c>
      <c r="R370" s="26">
        <v>5539398490</v>
      </c>
      <c r="S370" s="31" t="s">
        <v>2217</v>
      </c>
      <c r="T370" s="26" t="s">
        <v>19</v>
      </c>
      <c r="U370" s="31" t="s">
        <v>2253</v>
      </c>
      <c r="V370" s="31" t="s">
        <v>1514</v>
      </c>
      <c r="W370" s="31" t="s">
        <v>1515</v>
      </c>
      <c r="X370" s="31" t="s">
        <v>406</v>
      </c>
      <c r="Y370" s="31">
        <v>2300</v>
      </c>
      <c r="Z370" s="31" t="s">
        <v>57</v>
      </c>
      <c r="AA370" s="31" t="s">
        <v>57</v>
      </c>
      <c r="AB370" s="31" t="s">
        <v>1516</v>
      </c>
      <c r="AC370" s="31">
        <v>5522350433</v>
      </c>
      <c r="AD370" s="31">
        <v>5555589777</v>
      </c>
    </row>
    <row r="371" spans="1:30" x14ac:dyDescent="0.2">
      <c r="A371" s="26">
        <v>11620</v>
      </c>
      <c r="B371" s="26">
        <f>VLOOKUP(A371,Hoja1!A:A,1,FALSE)</f>
        <v>11620</v>
      </c>
      <c r="C371" s="27" t="s">
        <v>1517</v>
      </c>
      <c r="D371" s="28" t="s">
        <v>1360</v>
      </c>
      <c r="E371" s="29" t="s">
        <v>16</v>
      </c>
      <c r="F371" s="29" t="s">
        <v>16</v>
      </c>
      <c r="G371" s="30">
        <v>42803</v>
      </c>
      <c r="H371" s="26" t="s">
        <v>49</v>
      </c>
      <c r="I371" s="26" t="s">
        <v>110</v>
      </c>
      <c r="J371" s="26" t="s">
        <v>110</v>
      </c>
      <c r="K371" s="26">
        <v>103425</v>
      </c>
      <c r="L371" s="31" t="s">
        <v>1518</v>
      </c>
      <c r="M371" s="26">
        <v>3115</v>
      </c>
      <c r="N371" s="31" t="s">
        <v>1482</v>
      </c>
      <c r="O371" s="26">
        <v>5541302274</v>
      </c>
      <c r="P371" s="29" t="s">
        <v>2201</v>
      </c>
      <c r="Q371" s="31" t="s">
        <v>17</v>
      </c>
      <c r="R371" s="26">
        <v>5539398490</v>
      </c>
      <c r="S371" s="31" t="s">
        <v>2217</v>
      </c>
      <c r="T371" s="26" t="s">
        <v>19</v>
      </c>
      <c r="U371" s="31" t="s">
        <v>2253</v>
      </c>
      <c r="V371" s="31" t="s">
        <v>1519</v>
      </c>
      <c r="W371" s="31" t="s">
        <v>1520</v>
      </c>
      <c r="X371" s="31" t="s">
        <v>1495</v>
      </c>
      <c r="Y371" s="31">
        <v>56560</v>
      </c>
      <c r="Z371" s="31" t="s">
        <v>118</v>
      </c>
      <c r="AA371" s="31" t="s">
        <v>118</v>
      </c>
      <c r="AB371" s="31" t="s">
        <v>1521</v>
      </c>
      <c r="AC371" s="31">
        <v>5556388867</v>
      </c>
      <c r="AD371" s="31">
        <v>5559747410</v>
      </c>
    </row>
    <row r="372" spans="1:30" x14ac:dyDescent="0.2">
      <c r="A372" s="26">
        <v>12301</v>
      </c>
      <c r="B372" s="26">
        <f>VLOOKUP(A372,Hoja1!A:A,1,FALSE)</f>
        <v>12301</v>
      </c>
      <c r="C372" s="27" t="s">
        <v>1949</v>
      </c>
      <c r="D372" s="28" t="s">
        <v>1360</v>
      </c>
      <c r="E372" s="29" t="s">
        <v>16</v>
      </c>
      <c r="F372" s="29" t="s">
        <v>16</v>
      </c>
      <c r="G372" s="30">
        <v>43087</v>
      </c>
      <c r="H372" s="26" t="s">
        <v>49</v>
      </c>
      <c r="I372" s="26" t="s">
        <v>110</v>
      </c>
      <c r="J372" s="26" t="s">
        <v>110</v>
      </c>
      <c r="K372" s="26">
        <v>87193</v>
      </c>
      <c r="L372" s="31" t="s">
        <v>1522</v>
      </c>
      <c r="M372" s="26">
        <v>3115</v>
      </c>
      <c r="N372" s="31" t="s">
        <v>1482</v>
      </c>
      <c r="O372" s="26">
        <v>5541302274</v>
      </c>
      <c r="P372" s="29" t="s">
        <v>2201</v>
      </c>
      <c r="Q372" s="31" t="s">
        <v>17</v>
      </c>
      <c r="R372" s="26">
        <v>5539398490</v>
      </c>
      <c r="S372" s="31" t="s">
        <v>2217</v>
      </c>
      <c r="T372" s="26" t="s">
        <v>19</v>
      </c>
      <c r="U372" s="31" t="s">
        <v>2253</v>
      </c>
      <c r="V372" s="31" t="s">
        <v>1523</v>
      </c>
      <c r="W372" s="31" t="s">
        <v>1524</v>
      </c>
      <c r="X372" s="31" t="s">
        <v>199</v>
      </c>
      <c r="Y372" s="31">
        <v>57000</v>
      </c>
      <c r="Z372" s="31" t="s">
        <v>118</v>
      </c>
      <c r="AA372" s="31" t="s">
        <v>118</v>
      </c>
      <c r="AB372" s="31" t="s">
        <v>1525</v>
      </c>
      <c r="AC372" s="31">
        <v>5522282190</v>
      </c>
      <c r="AD372" s="31">
        <v>5557366375</v>
      </c>
    </row>
    <row r="373" spans="1:30" x14ac:dyDescent="0.2">
      <c r="A373" s="26">
        <v>11109</v>
      </c>
      <c r="B373" s="26">
        <f>VLOOKUP(A373,Hoja1!A:A,1,FALSE)</f>
        <v>11109</v>
      </c>
      <c r="C373" s="27" t="s">
        <v>1526</v>
      </c>
      <c r="D373" s="28" t="s">
        <v>1360</v>
      </c>
      <c r="E373" s="29" t="s">
        <v>16</v>
      </c>
      <c r="F373" s="29" t="s">
        <v>16</v>
      </c>
      <c r="G373" s="30">
        <v>34239</v>
      </c>
      <c r="H373" s="26" t="s">
        <v>49</v>
      </c>
      <c r="I373" s="26" t="s">
        <v>110</v>
      </c>
      <c r="J373" s="26" t="s">
        <v>110</v>
      </c>
      <c r="K373" s="26">
        <v>2853</v>
      </c>
      <c r="L373" s="31" t="s">
        <v>1527</v>
      </c>
      <c r="M373" s="26">
        <v>5350</v>
      </c>
      <c r="N373" s="31" t="s">
        <v>1528</v>
      </c>
      <c r="O373" s="26">
        <v>5578887741</v>
      </c>
      <c r="P373" s="29" t="s">
        <v>2202</v>
      </c>
      <c r="Q373" s="31" t="s">
        <v>17</v>
      </c>
      <c r="R373" s="26">
        <v>5539398490</v>
      </c>
      <c r="S373" s="31" t="s">
        <v>2217</v>
      </c>
      <c r="T373" s="26" t="s">
        <v>19</v>
      </c>
      <c r="U373" s="31" t="s">
        <v>2253</v>
      </c>
      <c r="V373" s="31" t="s">
        <v>1529</v>
      </c>
      <c r="W373" s="31" t="s">
        <v>1530</v>
      </c>
      <c r="X373" s="31" t="s">
        <v>99</v>
      </c>
      <c r="Y373" s="31">
        <v>72020</v>
      </c>
      <c r="Z373" s="31" t="s">
        <v>1384</v>
      </c>
      <c r="AA373" s="31" t="s">
        <v>1384</v>
      </c>
      <c r="AB373" s="31" t="s">
        <v>1531</v>
      </c>
      <c r="AC373" s="31">
        <v>2222240261</v>
      </c>
      <c r="AD373" s="31">
        <v>2222249232</v>
      </c>
    </row>
    <row r="374" spans="1:30" x14ac:dyDescent="0.2">
      <c r="A374" s="26">
        <v>11205</v>
      </c>
      <c r="B374" s="26">
        <f>VLOOKUP(A374,Hoja1!A:A,1,FALSE)</f>
        <v>11205</v>
      </c>
      <c r="C374" s="27" t="s">
        <v>1532</v>
      </c>
      <c r="D374" s="28" t="s">
        <v>1360</v>
      </c>
      <c r="E374" s="29" t="s">
        <v>16</v>
      </c>
      <c r="F374" s="29" t="s">
        <v>16</v>
      </c>
      <c r="G374" s="30">
        <v>36041</v>
      </c>
      <c r="H374" s="26" t="s">
        <v>49</v>
      </c>
      <c r="I374" s="26" t="s">
        <v>110</v>
      </c>
      <c r="J374" s="26" t="s">
        <v>110</v>
      </c>
      <c r="K374" s="26">
        <v>38423</v>
      </c>
      <c r="L374" s="31" t="s">
        <v>1533</v>
      </c>
      <c r="M374" s="26">
        <v>5350</v>
      </c>
      <c r="N374" s="31" t="s">
        <v>1528</v>
      </c>
      <c r="O374" s="26">
        <v>5578887741</v>
      </c>
      <c r="P374" s="29" t="s">
        <v>2202</v>
      </c>
      <c r="Q374" s="31" t="s">
        <v>17</v>
      </c>
      <c r="R374" s="26">
        <v>5539398490</v>
      </c>
      <c r="S374" s="31" t="s">
        <v>2217</v>
      </c>
      <c r="T374" s="26" t="s">
        <v>19</v>
      </c>
      <c r="U374" s="31" t="s">
        <v>2253</v>
      </c>
      <c r="V374" s="31" t="s">
        <v>1534</v>
      </c>
      <c r="W374" s="31" t="s">
        <v>89</v>
      </c>
      <c r="X374" s="31" t="s">
        <v>99</v>
      </c>
      <c r="Y374" s="31">
        <v>90000</v>
      </c>
      <c r="Z374" s="31" t="s">
        <v>1532</v>
      </c>
      <c r="AA374" s="31" t="s">
        <v>1532</v>
      </c>
      <c r="AB374" s="31" t="s">
        <v>1535</v>
      </c>
      <c r="AC374" s="31">
        <v>2464624345</v>
      </c>
      <c r="AD374" s="31">
        <v>2464626030</v>
      </c>
    </row>
    <row r="375" spans="1:30" x14ac:dyDescent="0.2">
      <c r="A375" s="26">
        <v>11226</v>
      </c>
      <c r="B375" s="26">
        <f>VLOOKUP(A375,Hoja1!A:A,1,FALSE)</f>
        <v>11226</v>
      </c>
      <c r="C375" s="27" t="s">
        <v>1536</v>
      </c>
      <c r="D375" s="28" t="s">
        <v>1360</v>
      </c>
      <c r="E375" s="29" t="s">
        <v>16</v>
      </c>
      <c r="F375" s="29" t="s">
        <v>16</v>
      </c>
      <c r="G375" s="30">
        <v>36178</v>
      </c>
      <c r="H375" s="26" t="s">
        <v>49</v>
      </c>
      <c r="I375" s="26" t="s">
        <v>110</v>
      </c>
      <c r="J375" s="26" t="s">
        <v>110</v>
      </c>
      <c r="K375" s="26">
        <v>33447</v>
      </c>
      <c r="L375" s="31" t="s">
        <v>1537</v>
      </c>
      <c r="M375" s="26">
        <v>5350</v>
      </c>
      <c r="N375" s="31" t="s">
        <v>1528</v>
      </c>
      <c r="O375" s="26">
        <v>5578887741</v>
      </c>
      <c r="P375" s="29" t="s">
        <v>2202</v>
      </c>
      <c r="Q375" s="31" t="s">
        <v>17</v>
      </c>
      <c r="R375" s="26">
        <v>5539398490</v>
      </c>
      <c r="S375" s="31" t="s">
        <v>2217</v>
      </c>
      <c r="T375" s="26" t="s">
        <v>19</v>
      </c>
      <c r="U375" s="31" t="s">
        <v>2253</v>
      </c>
      <c r="V375" s="31" t="s">
        <v>1538</v>
      </c>
      <c r="W375" s="31" t="s">
        <v>1539</v>
      </c>
      <c r="X375" s="31" t="s">
        <v>99</v>
      </c>
      <c r="Y375" s="31">
        <v>72810</v>
      </c>
      <c r="Z375" s="31" t="s">
        <v>1536</v>
      </c>
      <c r="AA375" s="31" t="s">
        <v>1384</v>
      </c>
      <c r="AB375" s="31" t="s">
        <v>1540</v>
      </c>
      <c r="AC375" s="31">
        <v>2222255110</v>
      </c>
      <c r="AD375" s="31">
        <v>2222254740</v>
      </c>
    </row>
    <row r="376" spans="1:30" x14ac:dyDescent="0.2">
      <c r="A376" s="26">
        <v>11232</v>
      </c>
      <c r="B376" s="26">
        <f>VLOOKUP(A376,Hoja1!A:A,1,FALSE)</f>
        <v>11232</v>
      </c>
      <c r="C376" s="27" t="s">
        <v>1541</v>
      </c>
      <c r="D376" s="28" t="s">
        <v>1360</v>
      </c>
      <c r="E376" s="29" t="s">
        <v>16</v>
      </c>
      <c r="F376" s="29" t="s">
        <v>16</v>
      </c>
      <c r="G376" s="30">
        <v>36255</v>
      </c>
      <c r="H376" s="26" t="s">
        <v>49</v>
      </c>
      <c r="I376" s="26" t="s">
        <v>110</v>
      </c>
      <c r="J376" s="26" t="s">
        <v>110</v>
      </c>
      <c r="K376" s="26">
        <v>61649</v>
      </c>
      <c r="L376" s="31" t="s">
        <v>1542</v>
      </c>
      <c r="M376" s="26">
        <v>5350</v>
      </c>
      <c r="N376" s="31" t="s">
        <v>1528</v>
      </c>
      <c r="O376" s="26">
        <v>5578887741</v>
      </c>
      <c r="P376" s="29" t="s">
        <v>2202</v>
      </c>
      <c r="Q376" s="31" t="s">
        <v>17</v>
      </c>
      <c r="R376" s="26">
        <v>5539398490</v>
      </c>
      <c r="S376" s="31" t="s">
        <v>2217</v>
      </c>
      <c r="T376" s="26" t="s">
        <v>19</v>
      </c>
      <c r="U376" s="31" t="s">
        <v>2253</v>
      </c>
      <c r="V376" s="31" t="s">
        <v>1543</v>
      </c>
      <c r="W376" s="31" t="s">
        <v>89</v>
      </c>
      <c r="X376" s="31" t="s">
        <v>99</v>
      </c>
      <c r="Y376" s="31">
        <v>90300</v>
      </c>
      <c r="Z376" s="31" t="s">
        <v>1541</v>
      </c>
      <c r="AA376" s="31" t="s">
        <v>1532</v>
      </c>
      <c r="AB376" s="31" t="s">
        <v>1544</v>
      </c>
      <c r="AC376" s="31">
        <v>2414176011</v>
      </c>
      <c r="AD376" s="31">
        <v>2414176767</v>
      </c>
    </row>
    <row r="377" spans="1:30" x14ac:dyDescent="0.2">
      <c r="A377" s="26">
        <v>11331</v>
      </c>
      <c r="B377" s="26">
        <f>VLOOKUP(A377,Hoja1!A:A,1,FALSE)</f>
        <v>11331</v>
      </c>
      <c r="C377" s="27" t="s">
        <v>1545</v>
      </c>
      <c r="D377" s="28" t="s">
        <v>1360</v>
      </c>
      <c r="E377" s="29" t="s">
        <v>16</v>
      </c>
      <c r="F377" s="29" t="s">
        <v>16</v>
      </c>
      <c r="G377" s="30">
        <v>36745</v>
      </c>
      <c r="H377" s="26" t="s">
        <v>49</v>
      </c>
      <c r="I377" s="26" t="s">
        <v>110</v>
      </c>
      <c r="J377" s="26" t="s">
        <v>110</v>
      </c>
      <c r="K377" s="26">
        <v>121558</v>
      </c>
      <c r="L377" s="31" t="s">
        <v>1546</v>
      </c>
      <c r="M377" s="26">
        <v>5350</v>
      </c>
      <c r="N377" s="31" t="s">
        <v>1528</v>
      </c>
      <c r="O377" s="26">
        <v>5578887741</v>
      </c>
      <c r="P377" s="29" t="s">
        <v>2202</v>
      </c>
      <c r="Q377" s="31" t="s">
        <v>17</v>
      </c>
      <c r="R377" s="26">
        <v>5539398490</v>
      </c>
      <c r="S377" s="31" t="s">
        <v>2217</v>
      </c>
      <c r="T377" s="26" t="s">
        <v>19</v>
      </c>
      <c r="U377" s="31" t="s">
        <v>2253</v>
      </c>
      <c r="V377" s="31" t="s">
        <v>1547</v>
      </c>
      <c r="W377" s="31" t="s">
        <v>1548</v>
      </c>
      <c r="X377" s="31" t="s">
        <v>99</v>
      </c>
      <c r="Y377" s="31">
        <v>74000</v>
      </c>
      <c r="Z377" s="31" t="s">
        <v>1384</v>
      </c>
      <c r="AA377" s="31" t="s">
        <v>1384</v>
      </c>
      <c r="AB377" s="31" t="s">
        <v>1549</v>
      </c>
      <c r="AC377" s="31">
        <v>2484849984</v>
      </c>
      <c r="AD377" s="31">
        <v>2484849988</v>
      </c>
    </row>
    <row r="378" spans="1:30" x14ac:dyDescent="0.2">
      <c r="A378" s="26">
        <v>11479</v>
      </c>
      <c r="B378" s="26">
        <f>VLOOKUP(A378,Hoja1!A:A,1,FALSE)</f>
        <v>11479</v>
      </c>
      <c r="C378" s="27" t="s">
        <v>1550</v>
      </c>
      <c r="D378" s="28" t="s">
        <v>1360</v>
      </c>
      <c r="E378" s="29" t="s">
        <v>16</v>
      </c>
      <c r="F378" s="29" t="s">
        <v>16</v>
      </c>
      <c r="G378" s="30">
        <v>38705</v>
      </c>
      <c r="H378" s="26" t="s">
        <v>49</v>
      </c>
      <c r="I378" s="26" t="s">
        <v>110</v>
      </c>
      <c r="J378" s="26" t="s">
        <v>110</v>
      </c>
      <c r="K378" s="26">
        <v>35021</v>
      </c>
      <c r="L378" s="31" t="s">
        <v>1551</v>
      </c>
      <c r="M378" s="26">
        <v>5350</v>
      </c>
      <c r="N378" s="31" t="s">
        <v>1528</v>
      </c>
      <c r="O378" s="26">
        <v>5578887741</v>
      </c>
      <c r="P378" s="29" t="s">
        <v>2202</v>
      </c>
      <c r="Q378" s="31" t="s">
        <v>17</v>
      </c>
      <c r="R378" s="26">
        <v>5539398490</v>
      </c>
      <c r="S378" s="31" t="s">
        <v>2217</v>
      </c>
      <c r="T378" s="26" t="s">
        <v>19</v>
      </c>
      <c r="U378" s="31" t="s">
        <v>2253</v>
      </c>
      <c r="V378" s="31" t="s">
        <v>1552</v>
      </c>
      <c r="W378" s="31" t="s">
        <v>89</v>
      </c>
      <c r="X378" s="31" t="s">
        <v>99</v>
      </c>
      <c r="Y378" s="31">
        <v>72760</v>
      </c>
      <c r="Z378" s="31" t="s">
        <v>1384</v>
      </c>
      <c r="AA378" s="31" t="s">
        <v>1384</v>
      </c>
      <c r="AB378" s="31" t="s">
        <v>1553</v>
      </c>
      <c r="AC378" s="31">
        <v>2221782594</v>
      </c>
      <c r="AD378" s="31">
        <v>2222615717</v>
      </c>
    </row>
    <row r="379" spans="1:30" x14ac:dyDescent="0.2">
      <c r="A379" s="26">
        <v>11621</v>
      </c>
      <c r="B379" s="26">
        <f>VLOOKUP(A379,Hoja1!A:A,1,FALSE)</f>
        <v>11621</v>
      </c>
      <c r="C379" s="27" t="s">
        <v>1554</v>
      </c>
      <c r="D379" s="28" t="s">
        <v>1360</v>
      </c>
      <c r="E379" s="29" t="s">
        <v>16</v>
      </c>
      <c r="F379" s="29" t="s">
        <v>16</v>
      </c>
      <c r="G379" s="30">
        <v>42755</v>
      </c>
      <c r="H379" s="26" t="s">
        <v>49</v>
      </c>
      <c r="I379" s="26" t="s">
        <v>110</v>
      </c>
      <c r="J379" s="26" t="s">
        <v>110</v>
      </c>
      <c r="K379" s="26">
        <v>131332</v>
      </c>
      <c r="L379" s="31" t="s">
        <v>1555</v>
      </c>
      <c r="M379" s="26">
        <v>5350</v>
      </c>
      <c r="N379" s="31" t="s">
        <v>1528</v>
      </c>
      <c r="O379" s="26">
        <v>5578887741</v>
      </c>
      <c r="P379" s="29" t="s">
        <v>2202</v>
      </c>
      <c r="Q379" s="31" t="s">
        <v>17</v>
      </c>
      <c r="R379" s="26">
        <v>5539398490</v>
      </c>
      <c r="S379" s="31" t="s">
        <v>2217</v>
      </c>
      <c r="T379" s="26" t="s">
        <v>19</v>
      </c>
      <c r="U379" s="31" t="s">
        <v>2253</v>
      </c>
      <c r="V379" s="31" t="s">
        <v>1556</v>
      </c>
      <c r="W379" s="31" t="s">
        <v>89</v>
      </c>
      <c r="X379" s="31" t="s">
        <v>99</v>
      </c>
      <c r="Y379" s="31">
        <v>90000</v>
      </c>
      <c r="Z379" s="31" t="s">
        <v>1532</v>
      </c>
      <c r="AA379" s="31" t="s">
        <v>1532</v>
      </c>
      <c r="AB379" s="31" t="s">
        <v>1557</v>
      </c>
      <c r="AC379" s="31">
        <v>2464620259</v>
      </c>
      <c r="AD379" s="31">
        <v>2464540000</v>
      </c>
    </row>
    <row r="380" spans="1:30" x14ac:dyDescent="0.2">
      <c r="A380" s="26">
        <v>11831</v>
      </c>
      <c r="B380" s="26">
        <f>VLOOKUP(A380,Hoja1!A:A,1,FALSE)</f>
        <v>11831</v>
      </c>
      <c r="C380" s="27" t="s">
        <v>1558</v>
      </c>
      <c r="D380" s="28" t="s">
        <v>1360</v>
      </c>
      <c r="E380" s="29" t="s">
        <v>16</v>
      </c>
      <c r="F380" s="29" t="s">
        <v>16</v>
      </c>
      <c r="G380" s="30">
        <v>37225</v>
      </c>
      <c r="H380" s="26" t="s">
        <v>49</v>
      </c>
      <c r="I380" s="26" t="s">
        <v>50</v>
      </c>
      <c r="J380" s="26" t="s">
        <v>153</v>
      </c>
      <c r="K380" s="26">
        <v>133721</v>
      </c>
      <c r="L380" s="31" t="s">
        <v>2145</v>
      </c>
      <c r="M380" s="26">
        <v>5350</v>
      </c>
      <c r="N380" s="31" t="s">
        <v>1528</v>
      </c>
      <c r="O380" s="26">
        <v>5578887741</v>
      </c>
      <c r="P380" s="29" t="s">
        <v>2202</v>
      </c>
      <c r="Q380" s="31" t="s">
        <v>17</v>
      </c>
      <c r="R380" s="26">
        <v>5539398490</v>
      </c>
      <c r="S380" s="31" t="s">
        <v>2217</v>
      </c>
      <c r="T380" s="26" t="s">
        <v>19</v>
      </c>
      <c r="U380" s="31" t="s">
        <v>2253</v>
      </c>
      <c r="V380" s="31" t="s">
        <v>2087</v>
      </c>
      <c r="W380" s="31" t="s">
        <v>1559</v>
      </c>
      <c r="X380" s="31" t="s">
        <v>99</v>
      </c>
      <c r="Y380" s="31">
        <v>72670</v>
      </c>
      <c r="Z380" s="31" t="s">
        <v>1384</v>
      </c>
      <c r="AA380" s="31" t="s">
        <v>1384</v>
      </c>
      <c r="AB380" s="31" t="s">
        <v>1560</v>
      </c>
      <c r="AC380" s="31">
        <v>2222268845</v>
      </c>
      <c r="AD380" s="31">
        <v>2222268844</v>
      </c>
    </row>
    <row r="381" spans="1:30" x14ac:dyDescent="0.2">
      <c r="A381" s="26">
        <v>11861</v>
      </c>
      <c r="B381" s="26">
        <f>VLOOKUP(A381,Hoja1!A:A,1,FALSE)</f>
        <v>11861</v>
      </c>
      <c r="C381" s="27" t="s">
        <v>1561</v>
      </c>
      <c r="D381" s="28" t="s">
        <v>1360</v>
      </c>
      <c r="E381" s="29" t="s">
        <v>16</v>
      </c>
      <c r="F381" s="29" t="s">
        <v>16</v>
      </c>
      <c r="G381" s="30">
        <v>38324</v>
      </c>
      <c r="H381" s="26" t="s">
        <v>49</v>
      </c>
      <c r="I381" s="26" t="s">
        <v>110</v>
      </c>
      <c r="J381" s="26" t="s">
        <v>110</v>
      </c>
      <c r="K381" s="26">
        <v>31865</v>
      </c>
      <c r="L381" s="31" t="s">
        <v>1562</v>
      </c>
      <c r="M381" s="26">
        <v>5350</v>
      </c>
      <c r="N381" s="31" t="s">
        <v>1528</v>
      </c>
      <c r="O381" s="26">
        <v>5578887741</v>
      </c>
      <c r="P381" s="29" t="s">
        <v>2202</v>
      </c>
      <c r="Q381" s="31" t="s">
        <v>17</v>
      </c>
      <c r="R381" s="26">
        <v>5539398490</v>
      </c>
      <c r="S381" s="31" t="s">
        <v>2217</v>
      </c>
      <c r="T381" s="26" t="s">
        <v>19</v>
      </c>
      <c r="U381" s="31" t="s">
        <v>2253</v>
      </c>
      <c r="V381" s="31" t="s">
        <v>1563</v>
      </c>
      <c r="W381" s="31" t="s">
        <v>1564</v>
      </c>
      <c r="X381" s="31" t="s">
        <v>99</v>
      </c>
      <c r="Y381" s="31">
        <v>72700</v>
      </c>
      <c r="Z381" s="31" t="s">
        <v>1384</v>
      </c>
      <c r="AA381" s="31" t="s">
        <v>1384</v>
      </c>
      <c r="AB381" s="31" t="s">
        <v>1565</v>
      </c>
      <c r="AC381" s="31">
        <v>2222268845</v>
      </c>
      <c r="AD381" s="31">
        <v>2222268844</v>
      </c>
    </row>
    <row r="382" spans="1:30" x14ac:dyDescent="0.2">
      <c r="A382" s="26">
        <v>12383</v>
      </c>
      <c r="B382" s="26" t="e">
        <f>VLOOKUP(A382,Hoja1!A:A,1,FALSE)</f>
        <v>#N/A</v>
      </c>
      <c r="C382" s="27" t="s">
        <v>2102</v>
      </c>
      <c r="D382" s="28" t="s">
        <v>1360</v>
      </c>
      <c r="E382" s="29" t="s">
        <v>16</v>
      </c>
      <c r="F382" s="29" t="s">
        <v>16</v>
      </c>
      <c r="G382" s="30">
        <v>43783</v>
      </c>
      <c r="H382" s="26" t="s">
        <v>49</v>
      </c>
      <c r="I382" s="26" t="s">
        <v>110</v>
      </c>
      <c r="J382" s="26" t="s">
        <v>110</v>
      </c>
      <c r="K382" s="26">
        <v>35703</v>
      </c>
      <c r="L382" s="31" t="s">
        <v>2142</v>
      </c>
      <c r="M382" s="26">
        <v>5350</v>
      </c>
      <c r="N382" s="31" t="s">
        <v>1528</v>
      </c>
      <c r="O382" s="26">
        <v>5578887741</v>
      </c>
      <c r="P382" s="29" t="s">
        <v>2202</v>
      </c>
      <c r="Q382" s="31" t="s">
        <v>17</v>
      </c>
      <c r="R382" s="26">
        <v>5539398490</v>
      </c>
      <c r="S382" s="31" t="s">
        <v>2217</v>
      </c>
      <c r="T382" s="26" t="s">
        <v>19</v>
      </c>
      <c r="U382" s="31" t="s">
        <v>2253</v>
      </c>
      <c r="V382" s="31" t="s">
        <v>2231</v>
      </c>
      <c r="W382" s="31" t="s">
        <v>2002</v>
      </c>
      <c r="X382" s="31" t="s">
        <v>1384</v>
      </c>
      <c r="Y382" s="31">
        <v>72100</v>
      </c>
      <c r="Z382" s="31" t="s">
        <v>1384</v>
      </c>
      <c r="AA382" s="31" t="s">
        <v>1384</v>
      </c>
      <c r="AB382" s="31" t="s">
        <v>2143</v>
      </c>
      <c r="AC382" s="31">
        <v>2229506322</v>
      </c>
      <c r="AD382" s="31">
        <v>2224540123</v>
      </c>
    </row>
    <row r="383" spans="1:30" x14ac:dyDescent="0.2">
      <c r="A383" s="26">
        <v>11040</v>
      </c>
      <c r="B383" s="26">
        <f>VLOOKUP(A383,Hoja1!A:A,1,FALSE)</f>
        <v>11040</v>
      </c>
      <c r="C383" s="27" t="s">
        <v>1566</v>
      </c>
      <c r="D383" s="28" t="s">
        <v>1360</v>
      </c>
      <c r="E383" s="29" t="s">
        <v>16</v>
      </c>
      <c r="F383" s="29" t="s">
        <v>16</v>
      </c>
      <c r="G383" s="30">
        <v>33560</v>
      </c>
      <c r="H383" s="26" t="s">
        <v>49</v>
      </c>
      <c r="I383" s="26" t="s">
        <v>110</v>
      </c>
      <c r="J383" s="26" t="s">
        <v>110</v>
      </c>
      <c r="K383" s="26">
        <v>50711</v>
      </c>
      <c r="L383" s="31" t="s">
        <v>1567</v>
      </c>
      <c r="M383" s="26">
        <v>5015</v>
      </c>
      <c r="N383" s="31" t="s">
        <v>1568</v>
      </c>
      <c r="O383" s="26">
        <v>5519036251</v>
      </c>
      <c r="P383" s="29" t="s">
        <v>2203</v>
      </c>
      <c r="Q383" s="31" t="s">
        <v>17</v>
      </c>
      <c r="R383" s="26">
        <v>5539398490</v>
      </c>
      <c r="S383" s="31" t="s">
        <v>2217</v>
      </c>
      <c r="T383" s="26" t="s">
        <v>19</v>
      </c>
      <c r="U383" s="31" t="s">
        <v>2253</v>
      </c>
      <c r="V383" s="31" t="s">
        <v>1569</v>
      </c>
      <c r="W383" s="31" t="s">
        <v>1570</v>
      </c>
      <c r="X383" s="31" t="s">
        <v>99</v>
      </c>
      <c r="Y383" s="31">
        <v>42080</v>
      </c>
      <c r="Z383" s="31" t="s">
        <v>723</v>
      </c>
      <c r="AA383" s="31" t="s">
        <v>723</v>
      </c>
      <c r="AB383" s="31" t="s">
        <v>1571</v>
      </c>
      <c r="AC383" s="31">
        <v>7717196150</v>
      </c>
      <c r="AD383" s="31">
        <v>7717186500</v>
      </c>
    </row>
    <row r="384" spans="1:30" x14ac:dyDescent="0.2">
      <c r="A384" s="26">
        <v>11176</v>
      </c>
      <c r="B384" s="26">
        <f>VLOOKUP(A384,Hoja1!A:A,1,FALSE)</f>
        <v>11176</v>
      </c>
      <c r="C384" s="27" t="s">
        <v>1572</v>
      </c>
      <c r="D384" s="28" t="s">
        <v>1360</v>
      </c>
      <c r="E384" s="29" t="s">
        <v>16</v>
      </c>
      <c r="F384" s="29" t="s">
        <v>16</v>
      </c>
      <c r="G384" s="30">
        <v>35940</v>
      </c>
      <c r="H384" s="26" t="s">
        <v>49</v>
      </c>
      <c r="I384" s="26" t="s">
        <v>110</v>
      </c>
      <c r="J384" s="26" t="s">
        <v>110</v>
      </c>
      <c r="K384" s="26">
        <v>50721</v>
      </c>
      <c r="L384" s="31" t="s">
        <v>1573</v>
      </c>
      <c r="M384" s="26">
        <v>5015</v>
      </c>
      <c r="N384" s="31" t="s">
        <v>1568</v>
      </c>
      <c r="O384" s="26">
        <v>5519036251</v>
      </c>
      <c r="P384" s="29" t="s">
        <v>2203</v>
      </c>
      <c r="Q384" s="31" t="s">
        <v>17</v>
      </c>
      <c r="R384" s="26">
        <v>5539398490</v>
      </c>
      <c r="S384" s="31" t="s">
        <v>2217</v>
      </c>
      <c r="T384" s="26" t="s">
        <v>19</v>
      </c>
      <c r="U384" s="31" t="s">
        <v>2253</v>
      </c>
      <c r="V384" s="31" t="s">
        <v>1574</v>
      </c>
      <c r="W384" s="31" t="s">
        <v>89</v>
      </c>
      <c r="X384" s="31" t="s">
        <v>99</v>
      </c>
      <c r="Y384" s="31">
        <v>43600</v>
      </c>
      <c r="Z384" s="31" t="s">
        <v>723</v>
      </c>
      <c r="AA384" s="31" t="s">
        <v>723</v>
      </c>
      <c r="AB384" s="31" t="s">
        <v>1575</v>
      </c>
      <c r="AC384" s="31">
        <v>7757543327</v>
      </c>
      <c r="AD384" s="31">
        <v>7757553853</v>
      </c>
    </row>
    <row r="385" spans="1:30" x14ac:dyDescent="0.2">
      <c r="A385" s="26">
        <v>11262</v>
      </c>
      <c r="B385" s="26">
        <f>VLOOKUP(A385,Hoja1!A:A,1,FALSE)</f>
        <v>11262</v>
      </c>
      <c r="C385" s="27" t="s">
        <v>1950</v>
      </c>
      <c r="D385" s="28" t="s">
        <v>1360</v>
      </c>
      <c r="E385" s="29" t="s">
        <v>16</v>
      </c>
      <c r="F385" s="29" t="s">
        <v>16</v>
      </c>
      <c r="G385" s="30">
        <v>36416</v>
      </c>
      <c r="H385" s="26" t="s">
        <v>49</v>
      </c>
      <c r="I385" s="26" t="s">
        <v>110</v>
      </c>
      <c r="J385" s="26" t="s">
        <v>110</v>
      </c>
      <c r="K385" s="26">
        <v>50742</v>
      </c>
      <c r="L385" s="31" t="s">
        <v>1576</v>
      </c>
      <c r="M385" s="26">
        <v>5015</v>
      </c>
      <c r="N385" s="31" t="s">
        <v>1568</v>
      </c>
      <c r="O385" s="26">
        <v>5519036251</v>
      </c>
      <c r="P385" s="29" t="s">
        <v>2203</v>
      </c>
      <c r="Q385" s="31" t="s">
        <v>17</v>
      </c>
      <c r="R385" s="26">
        <v>5539398490</v>
      </c>
      <c r="S385" s="31" t="s">
        <v>2217</v>
      </c>
      <c r="T385" s="26" t="s">
        <v>19</v>
      </c>
      <c r="U385" s="31" t="s">
        <v>2253</v>
      </c>
      <c r="V385" s="31" t="s">
        <v>1577</v>
      </c>
      <c r="W385" s="31" t="s">
        <v>1578</v>
      </c>
      <c r="X385" s="31" t="s">
        <v>99</v>
      </c>
      <c r="Y385" s="31">
        <v>42084</v>
      </c>
      <c r="Z385" s="31" t="s">
        <v>723</v>
      </c>
      <c r="AA385" s="31" t="s">
        <v>723</v>
      </c>
      <c r="AB385" s="31" t="s">
        <v>1579</v>
      </c>
      <c r="AC385" s="31">
        <v>7717117445</v>
      </c>
      <c r="AD385" s="31">
        <v>7717117440</v>
      </c>
    </row>
    <row r="386" spans="1:30" x14ac:dyDescent="0.2">
      <c r="A386" s="26">
        <v>11351</v>
      </c>
      <c r="B386" s="26">
        <f>VLOOKUP(A386,Hoja1!A:A,1,FALSE)</f>
        <v>11351</v>
      </c>
      <c r="C386" s="27" t="s">
        <v>1951</v>
      </c>
      <c r="D386" s="28" t="s">
        <v>1360</v>
      </c>
      <c r="E386" s="29" t="s">
        <v>16</v>
      </c>
      <c r="F386" s="29" t="s">
        <v>16</v>
      </c>
      <c r="G386" s="30">
        <v>36948</v>
      </c>
      <c r="H386" s="26" t="s">
        <v>49</v>
      </c>
      <c r="I386" s="26" t="s">
        <v>110</v>
      </c>
      <c r="J386" s="26" t="s">
        <v>110</v>
      </c>
      <c r="K386" s="26">
        <v>50731</v>
      </c>
      <c r="L386" s="31" t="s">
        <v>1580</v>
      </c>
      <c r="M386" s="26">
        <v>5015</v>
      </c>
      <c r="N386" s="31" t="s">
        <v>1568</v>
      </c>
      <c r="O386" s="26">
        <v>5519036251</v>
      </c>
      <c r="P386" s="29" t="s">
        <v>2203</v>
      </c>
      <c r="Q386" s="31" t="s">
        <v>17</v>
      </c>
      <c r="R386" s="26">
        <v>5539398490</v>
      </c>
      <c r="S386" s="31" t="s">
        <v>2217</v>
      </c>
      <c r="T386" s="26" t="s">
        <v>19</v>
      </c>
      <c r="U386" s="31" t="s">
        <v>2253</v>
      </c>
      <c r="V386" s="31" t="s">
        <v>1581</v>
      </c>
      <c r="W386" s="31" t="s">
        <v>1582</v>
      </c>
      <c r="X386" s="31" t="s">
        <v>99</v>
      </c>
      <c r="Y386" s="31">
        <v>42082</v>
      </c>
      <c r="Z386" s="31" t="s">
        <v>723</v>
      </c>
      <c r="AA386" s="31" t="s">
        <v>723</v>
      </c>
      <c r="AB386" s="31" t="s">
        <v>1583</v>
      </c>
      <c r="AC386" s="31">
        <v>7711072860</v>
      </c>
      <c r="AD386" s="31">
        <v>7717192122</v>
      </c>
    </row>
    <row r="387" spans="1:30" x14ac:dyDescent="0.2">
      <c r="A387" s="26">
        <v>11425</v>
      </c>
      <c r="B387" s="26">
        <f>VLOOKUP(A387,Hoja1!A:A,1,FALSE)</f>
        <v>11425</v>
      </c>
      <c r="C387" s="27" t="s">
        <v>1584</v>
      </c>
      <c r="D387" s="28" t="s">
        <v>1360</v>
      </c>
      <c r="E387" s="29" t="s">
        <v>16</v>
      </c>
      <c r="F387" s="29" t="s">
        <v>16</v>
      </c>
      <c r="G387" s="30">
        <v>37830</v>
      </c>
      <c r="H387" s="26" t="s">
        <v>49</v>
      </c>
      <c r="I387" s="26" t="s">
        <v>110</v>
      </c>
      <c r="J387" s="26" t="s">
        <v>110</v>
      </c>
      <c r="K387" s="26">
        <v>38607</v>
      </c>
      <c r="L387" s="31" t="s">
        <v>1585</v>
      </c>
      <c r="M387" s="26">
        <v>5015</v>
      </c>
      <c r="N387" s="31" t="s">
        <v>1568</v>
      </c>
      <c r="O387" s="26">
        <v>5519036251</v>
      </c>
      <c r="P387" s="29" t="s">
        <v>2203</v>
      </c>
      <c r="Q387" s="31" t="s">
        <v>17</v>
      </c>
      <c r="R387" s="26">
        <v>5539398490</v>
      </c>
      <c r="S387" s="31" t="s">
        <v>2217</v>
      </c>
      <c r="T387" s="26" t="s">
        <v>19</v>
      </c>
      <c r="U387" s="31" t="s">
        <v>2253</v>
      </c>
      <c r="V387" s="31" t="s">
        <v>1586</v>
      </c>
      <c r="W387" s="31" t="s">
        <v>89</v>
      </c>
      <c r="X387" s="31" t="s">
        <v>99</v>
      </c>
      <c r="Y387" s="31">
        <v>42800</v>
      </c>
      <c r="Z387" s="31" t="s">
        <v>723</v>
      </c>
      <c r="AA387" s="31" t="s">
        <v>723</v>
      </c>
      <c r="AB387" s="31" t="s">
        <v>1587</v>
      </c>
      <c r="AC387" s="31">
        <v>7714732438</v>
      </c>
      <c r="AD387" s="31">
        <v>7737336162</v>
      </c>
    </row>
    <row r="388" spans="1:30" x14ac:dyDescent="0.2">
      <c r="A388" s="26">
        <v>11489</v>
      </c>
      <c r="B388" s="26">
        <f>VLOOKUP(A388,Hoja1!A:A,1,FALSE)</f>
        <v>11489</v>
      </c>
      <c r="C388" s="27" t="s">
        <v>1952</v>
      </c>
      <c r="D388" s="28" t="s">
        <v>1360</v>
      </c>
      <c r="E388" s="29" t="s">
        <v>16</v>
      </c>
      <c r="F388" s="29" t="s">
        <v>16</v>
      </c>
      <c r="G388" s="30">
        <v>38917</v>
      </c>
      <c r="H388" s="26" t="s">
        <v>49</v>
      </c>
      <c r="I388" s="26" t="s">
        <v>110</v>
      </c>
      <c r="J388" s="26" t="s">
        <v>110</v>
      </c>
      <c r="K388" s="26">
        <v>50755</v>
      </c>
      <c r="L388" s="31" t="s">
        <v>1588</v>
      </c>
      <c r="M388" s="26">
        <v>5015</v>
      </c>
      <c r="N388" s="31" t="s">
        <v>1568</v>
      </c>
      <c r="O388" s="26">
        <v>5519036251</v>
      </c>
      <c r="P388" s="29" t="s">
        <v>2203</v>
      </c>
      <c r="Q388" s="31" t="s">
        <v>17</v>
      </c>
      <c r="R388" s="26">
        <v>5539398490</v>
      </c>
      <c r="S388" s="31" t="s">
        <v>2217</v>
      </c>
      <c r="T388" s="26" t="s">
        <v>19</v>
      </c>
      <c r="U388" s="31" t="s">
        <v>2253</v>
      </c>
      <c r="V388" s="31" t="s">
        <v>1589</v>
      </c>
      <c r="W388" s="31" t="s">
        <v>297</v>
      </c>
      <c r="X388" s="31" t="s">
        <v>99</v>
      </c>
      <c r="Y388" s="31">
        <v>42850</v>
      </c>
      <c r="Z388" s="31" t="s">
        <v>723</v>
      </c>
      <c r="AA388" s="31" t="s">
        <v>723</v>
      </c>
      <c r="AB388" s="31" t="s">
        <v>1590</v>
      </c>
      <c r="AC388" s="31">
        <v>7737332823</v>
      </c>
      <c r="AD388" s="31">
        <v>7737330545</v>
      </c>
    </row>
    <row r="389" spans="1:30" x14ac:dyDescent="0.2">
      <c r="A389" s="26">
        <v>11536</v>
      </c>
      <c r="B389" s="26">
        <f>VLOOKUP(A389,Hoja1!A:A,1,FALSE)</f>
        <v>11536</v>
      </c>
      <c r="C389" s="27" t="s">
        <v>1591</v>
      </c>
      <c r="D389" s="28" t="s">
        <v>1360</v>
      </c>
      <c r="E389" s="29" t="s">
        <v>16</v>
      </c>
      <c r="F389" s="29" t="s">
        <v>16</v>
      </c>
      <c r="G389" s="30">
        <v>37942</v>
      </c>
      <c r="H389" s="26" t="s">
        <v>49</v>
      </c>
      <c r="I389" s="26" t="s">
        <v>110</v>
      </c>
      <c r="J389" s="26" t="s">
        <v>110</v>
      </c>
      <c r="K389" s="26">
        <v>50766</v>
      </c>
      <c r="L389" s="31" t="s">
        <v>1592</v>
      </c>
      <c r="M389" s="26">
        <v>5015</v>
      </c>
      <c r="N389" s="31" t="s">
        <v>1568</v>
      </c>
      <c r="O389" s="26">
        <v>5519036251</v>
      </c>
      <c r="P389" s="29" t="s">
        <v>2203</v>
      </c>
      <c r="Q389" s="31" t="s">
        <v>17</v>
      </c>
      <c r="R389" s="26">
        <v>5539398490</v>
      </c>
      <c r="S389" s="31" t="s">
        <v>2217</v>
      </c>
      <c r="T389" s="26" t="s">
        <v>19</v>
      </c>
      <c r="U389" s="31" t="s">
        <v>2253</v>
      </c>
      <c r="V389" s="31" t="s">
        <v>1593</v>
      </c>
      <c r="W389" s="31" t="s">
        <v>1594</v>
      </c>
      <c r="X389" s="31" t="s">
        <v>99</v>
      </c>
      <c r="Y389" s="31">
        <v>42050</v>
      </c>
      <c r="Z389" s="31" t="s">
        <v>723</v>
      </c>
      <c r="AA389" s="31" t="s">
        <v>723</v>
      </c>
      <c r="AB389" s="31" t="s">
        <v>1595</v>
      </c>
      <c r="AC389" s="31">
        <v>7797966951</v>
      </c>
      <c r="AD389" s="31">
        <v>7797966950</v>
      </c>
    </row>
    <row r="390" spans="1:30" x14ac:dyDescent="0.2">
      <c r="A390" s="26">
        <v>11845</v>
      </c>
      <c r="B390" s="26">
        <f>VLOOKUP(A390,Hoja1!A:A,1,FALSE)</f>
        <v>11845</v>
      </c>
      <c r="C390" s="27" t="s">
        <v>1596</v>
      </c>
      <c r="D390" s="28" t="s">
        <v>1360</v>
      </c>
      <c r="E390" s="29" t="s">
        <v>16</v>
      </c>
      <c r="F390" s="29" t="s">
        <v>16</v>
      </c>
      <c r="G390" s="30">
        <v>37942</v>
      </c>
      <c r="H390" s="26" t="s">
        <v>49</v>
      </c>
      <c r="I390" s="26" t="s">
        <v>50</v>
      </c>
      <c r="J390" s="26" t="s">
        <v>50</v>
      </c>
      <c r="K390" s="26">
        <v>50775</v>
      </c>
      <c r="L390" s="31" t="s">
        <v>1597</v>
      </c>
      <c r="M390" s="26">
        <v>5015</v>
      </c>
      <c r="N390" s="31" t="s">
        <v>1568</v>
      </c>
      <c r="O390" s="26">
        <v>5519036251</v>
      </c>
      <c r="P390" s="29" t="s">
        <v>2203</v>
      </c>
      <c r="Q390" s="31" t="s">
        <v>17</v>
      </c>
      <c r="R390" s="26">
        <v>5539398490</v>
      </c>
      <c r="S390" s="31" t="s">
        <v>2217</v>
      </c>
      <c r="T390" s="26" t="s">
        <v>19</v>
      </c>
      <c r="U390" s="31" t="s">
        <v>2253</v>
      </c>
      <c r="V390" s="31" t="s">
        <v>1598</v>
      </c>
      <c r="W390" s="31" t="s">
        <v>1599</v>
      </c>
      <c r="X390" s="31" t="s">
        <v>99</v>
      </c>
      <c r="Y390" s="31">
        <v>42080</v>
      </c>
      <c r="Z390" s="31" t="s">
        <v>723</v>
      </c>
      <c r="AA390" s="31" t="s">
        <v>723</v>
      </c>
      <c r="AB390" s="31" t="s">
        <v>1600</v>
      </c>
      <c r="AC390" s="31">
        <v>7711330076</v>
      </c>
      <c r="AD390" s="31">
        <v>7711330076</v>
      </c>
    </row>
    <row r="391" spans="1:30" x14ac:dyDescent="0.2">
      <c r="A391" s="26">
        <v>11898</v>
      </c>
      <c r="B391" s="26">
        <f>VLOOKUP(A391,Hoja1!A:A,1,FALSE)</f>
        <v>11898</v>
      </c>
      <c r="C391" s="27" t="s">
        <v>1601</v>
      </c>
      <c r="D391" s="28" t="s">
        <v>1360</v>
      </c>
      <c r="E391" s="29" t="s">
        <v>16</v>
      </c>
      <c r="F391" s="29" t="s">
        <v>16</v>
      </c>
      <c r="G391" s="30">
        <v>40744</v>
      </c>
      <c r="H391" s="26" t="s">
        <v>49</v>
      </c>
      <c r="I391" s="26" t="s">
        <v>50</v>
      </c>
      <c r="J391" s="26" t="s">
        <v>87</v>
      </c>
      <c r="K391" s="26">
        <v>140497</v>
      </c>
      <c r="L391" s="31" t="s">
        <v>1602</v>
      </c>
      <c r="M391" s="26">
        <v>5015</v>
      </c>
      <c r="N391" s="31" t="s">
        <v>1568</v>
      </c>
      <c r="O391" s="26">
        <v>5519036251</v>
      </c>
      <c r="P391" s="29" t="s">
        <v>2203</v>
      </c>
      <c r="Q391" s="31" t="s">
        <v>17</v>
      </c>
      <c r="R391" s="26">
        <v>5539398490</v>
      </c>
      <c r="S391" s="31" t="s">
        <v>2217</v>
      </c>
      <c r="T391" s="26" t="s">
        <v>19</v>
      </c>
      <c r="U391" s="31" t="s">
        <v>2253</v>
      </c>
      <c r="V391" s="31" t="s">
        <v>1603</v>
      </c>
      <c r="W391" s="31" t="s">
        <v>1599</v>
      </c>
      <c r="X391" s="31" t="s">
        <v>99</v>
      </c>
      <c r="Y391" s="31">
        <v>425084</v>
      </c>
      <c r="Z391" s="31" t="s">
        <v>723</v>
      </c>
      <c r="AA391" s="31" t="s">
        <v>723</v>
      </c>
      <c r="AB391" s="31" t="s">
        <v>1604</v>
      </c>
      <c r="AC391" s="31">
        <v>7711383300</v>
      </c>
      <c r="AD391" s="31">
        <v>7711330696</v>
      </c>
    </row>
    <row r="392" spans="1:30" x14ac:dyDescent="0.2">
      <c r="A392" s="26">
        <v>11092</v>
      </c>
      <c r="B392" s="26">
        <f>VLOOKUP(A392,Hoja1!A:A,1,FALSE)</f>
        <v>11092</v>
      </c>
      <c r="C392" s="27" t="s">
        <v>1605</v>
      </c>
      <c r="D392" s="28" t="s">
        <v>1360</v>
      </c>
      <c r="E392" s="29" t="s">
        <v>16</v>
      </c>
      <c r="F392" s="29" t="s">
        <v>16</v>
      </c>
      <c r="G392" s="30">
        <v>34050</v>
      </c>
      <c r="H392" s="26" t="s">
        <v>49</v>
      </c>
      <c r="I392" s="26" t="s">
        <v>110</v>
      </c>
      <c r="J392" s="26" t="s">
        <v>110</v>
      </c>
      <c r="K392" s="26">
        <v>32523</v>
      </c>
      <c r="L392" s="31" t="s">
        <v>1606</v>
      </c>
      <c r="M392" s="26">
        <v>4995</v>
      </c>
      <c r="N392" s="31" t="s">
        <v>1607</v>
      </c>
      <c r="O392" s="26">
        <v>2221863006</v>
      </c>
      <c r="P392" s="29" t="s">
        <v>2204</v>
      </c>
      <c r="Q392" s="31" t="s">
        <v>17</v>
      </c>
      <c r="R392" s="26">
        <v>5539398490</v>
      </c>
      <c r="S392" s="31" t="s">
        <v>2217</v>
      </c>
      <c r="T392" s="26" t="s">
        <v>19</v>
      </c>
      <c r="U392" s="31" t="s">
        <v>2253</v>
      </c>
      <c r="V392" s="31" t="s">
        <v>1608</v>
      </c>
      <c r="W392" s="31" t="s">
        <v>1609</v>
      </c>
      <c r="X392" s="31" t="s">
        <v>99</v>
      </c>
      <c r="Y392" s="31">
        <v>72240</v>
      </c>
      <c r="Z392" s="31" t="s">
        <v>1384</v>
      </c>
      <c r="AA392" s="31" t="s">
        <v>1384</v>
      </c>
      <c r="AB392" s="31" t="s">
        <v>1610</v>
      </c>
      <c r="AC392" s="31">
        <v>2222341492</v>
      </c>
      <c r="AD392" s="31">
        <v>2222361000</v>
      </c>
    </row>
    <row r="393" spans="1:30" x14ac:dyDescent="0.2">
      <c r="A393" s="26">
        <v>11112</v>
      </c>
      <c r="B393" s="26">
        <f>VLOOKUP(A393,Hoja1!A:A,1,FALSE)</f>
        <v>11112</v>
      </c>
      <c r="C393" s="27" t="s">
        <v>1611</v>
      </c>
      <c r="D393" s="28" t="s">
        <v>1360</v>
      </c>
      <c r="E393" s="29" t="s">
        <v>16</v>
      </c>
      <c r="F393" s="29" t="s">
        <v>16</v>
      </c>
      <c r="G393" s="30">
        <v>34295</v>
      </c>
      <c r="H393" s="26" t="s">
        <v>49</v>
      </c>
      <c r="I393" s="26" t="s">
        <v>110</v>
      </c>
      <c r="J393" s="26" t="s">
        <v>110</v>
      </c>
      <c r="K393" s="26">
        <v>35080</v>
      </c>
      <c r="L393" s="31" t="s">
        <v>1959</v>
      </c>
      <c r="M393" s="26">
        <v>4995</v>
      </c>
      <c r="N393" s="31" t="s">
        <v>1607</v>
      </c>
      <c r="O393" s="26">
        <v>2221863006</v>
      </c>
      <c r="P393" s="29" t="s">
        <v>2204</v>
      </c>
      <c r="Q393" s="31" t="s">
        <v>17</v>
      </c>
      <c r="R393" s="26">
        <v>5539398490</v>
      </c>
      <c r="S393" s="31" t="s">
        <v>2217</v>
      </c>
      <c r="T393" s="26" t="s">
        <v>19</v>
      </c>
      <c r="U393" s="31" t="s">
        <v>2253</v>
      </c>
      <c r="V393" s="31" t="s">
        <v>1612</v>
      </c>
      <c r="W393" s="31" t="s">
        <v>1613</v>
      </c>
      <c r="X393" s="31" t="s">
        <v>99</v>
      </c>
      <c r="Y393" s="31">
        <v>75750</v>
      </c>
      <c r="Z393" s="31" t="s">
        <v>1614</v>
      </c>
      <c r="AA393" s="31" t="s">
        <v>1384</v>
      </c>
      <c r="AB393" s="31" t="s">
        <v>1615</v>
      </c>
      <c r="AC393" s="31">
        <v>2383846311</v>
      </c>
      <c r="AD393" s="31">
        <v>2383826490</v>
      </c>
    </row>
    <row r="394" spans="1:30" x14ac:dyDescent="0.2">
      <c r="A394" s="26">
        <v>11325</v>
      </c>
      <c r="B394" s="26">
        <f>VLOOKUP(A394,Hoja1!A:A,1,FALSE)</f>
        <v>11325</v>
      </c>
      <c r="C394" s="27" t="s">
        <v>1616</v>
      </c>
      <c r="D394" s="28" t="s">
        <v>1360</v>
      </c>
      <c r="E394" s="29" t="s">
        <v>16</v>
      </c>
      <c r="F394" s="29" t="s">
        <v>16</v>
      </c>
      <c r="G394" s="30">
        <v>36780</v>
      </c>
      <c r="H394" s="26" t="s">
        <v>49</v>
      </c>
      <c r="I394" s="26" t="s">
        <v>110</v>
      </c>
      <c r="J394" s="26" t="s">
        <v>110</v>
      </c>
      <c r="K394" s="26">
        <v>2082</v>
      </c>
      <c r="L394" s="31" t="s">
        <v>1617</v>
      </c>
      <c r="M394" s="26">
        <v>4995</v>
      </c>
      <c r="N394" s="31" t="s">
        <v>1607</v>
      </c>
      <c r="O394" s="26">
        <v>2221863006</v>
      </c>
      <c r="P394" s="29" t="s">
        <v>2204</v>
      </c>
      <c r="Q394" s="31" t="s">
        <v>17</v>
      </c>
      <c r="R394" s="26">
        <v>5539398490</v>
      </c>
      <c r="S394" s="31" t="s">
        <v>2217</v>
      </c>
      <c r="T394" s="26" t="s">
        <v>19</v>
      </c>
      <c r="U394" s="31" t="s">
        <v>2253</v>
      </c>
      <c r="V394" s="31" t="s">
        <v>1618</v>
      </c>
      <c r="W394" s="31" t="s">
        <v>1619</v>
      </c>
      <c r="X394" s="31" t="s">
        <v>99</v>
      </c>
      <c r="Y394" s="31">
        <v>72050</v>
      </c>
      <c r="Z394" s="31" t="s">
        <v>1384</v>
      </c>
      <c r="AA394" s="31" t="s">
        <v>1384</v>
      </c>
      <c r="AB394" s="31" t="s">
        <v>1620</v>
      </c>
      <c r="AC394" s="31">
        <v>2222304696</v>
      </c>
      <c r="AD394" s="31">
        <v>2222304618</v>
      </c>
    </row>
    <row r="395" spans="1:30" x14ac:dyDescent="0.2">
      <c r="A395" s="26">
        <v>11332</v>
      </c>
      <c r="B395" s="26">
        <f>VLOOKUP(A395,Hoja1!A:A,1,FALSE)</f>
        <v>11332</v>
      </c>
      <c r="C395" s="27" t="s">
        <v>1621</v>
      </c>
      <c r="D395" s="28" t="s">
        <v>1360</v>
      </c>
      <c r="E395" s="29" t="s">
        <v>16</v>
      </c>
      <c r="F395" s="29" t="s">
        <v>16</v>
      </c>
      <c r="G395" s="30">
        <v>36924</v>
      </c>
      <c r="H395" s="26" t="s">
        <v>49</v>
      </c>
      <c r="I395" s="26" t="s">
        <v>110</v>
      </c>
      <c r="J395" s="26" t="s">
        <v>110</v>
      </c>
      <c r="K395" s="26">
        <v>122621</v>
      </c>
      <c r="L395" s="31" t="s">
        <v>1622</v>
      </c>
      <c r="M395" s="26">
        <v>4995</v>
      </c>
      <c r="N395" s="31" t="s">
        <v>1607</v>
      </c>
      <c r="O395" s="26">
        <v>2221863006</v>
      </c>
      <c r="P395" s="29" t="s">
        <v>2204</v>
      </c>
      <c r="Q395" s="31" t="s">
        <v>17</v>
      </c>
      <c r="R395" s="26">
        <v>5539398490</v>
      </c>
      <c r="S395" s="31" t="s">
        <v>2217</v>
      </c>
      <c r="T395" s="26" t="s">
        <v>19</v>
      </c>
      <c r="U395" s="31" t="s">
        <v>2253</v>
      </c>
      <c r="V395" s="31" t="s">
        <v>1623</v>
      </c>
      <c r="W395" s="31" t="s">
        <v>1624</v>
      </c>
      <c r="X395" s="31" t="s">
        <v>99</v>
      </c>
      <c r="Y395" s="31">
        <v>72300</v>
      </c>
      <c r="Z395" s="31" t="s">
        <v>1384</v>
      </c>
      <c r="AA395" s="31" t="s">
        <v>1384</v>
      </c>
      <c r="AB395" s="31" t="s">
        <v>1625</v>
      </c>
      <c r="AC395" s="31">
        <v>2222902638</v>
      </c>
      <c r="AD395" s="31">
        <v>2222343767</v>
      </c>
    </row>
    <row r="396" spans="1:30" x14ac:dyDescent="0.2">
      <c r="A396" s="26">
        <v>11451</v>
      </c>
      <c r="B396" s="26">
        <f>VLOOKUP(A396,Hoja1!A:A,1,FALSE)</f>
        <v>11451</v>
      </c>
      <c r="C396" s="27" t="s">
        <v>1626</v>
      </c>
      <c r="D396" s="28" t="s">
        <v>1360</v>
      </c>
      <c r="E396" s="29" t="s">
        <v>16</v>
      </c>
      <c r="F396" s="29" t="s">
        <v>16</v>
      </c>
      <c r="G396" s="30">
        <v>38306</v>
      </c>
      <c r="H396" s="26" t="s">
        <v>49</v>
      </c>
      <c r="I396" s="26" t="s">
        <v>110</v>
      </c>
      <c r="J396" s="26" t="s">
        <v>110</v>
      </c>
      <c r="K396" s="26">
        <v>124691</v>
      </c>
      <c r="L396" s="31" t="s">
        <v>1960</v>
      </c>
      <c r="M396" s="26">
        <v>4995</v>
      </c>
      <c r="N396" s="31" t="s">
        <v>1607</v>
      </c>
      <c r="O396" s="26">
        <v>2221863006</v>
      </c>
      <c r="P396" s="29" t="s">
        <v>2204</v>
      </c>
      <c r="Q396" s="31" t="s">
        <v>17</v>
      </c>
      <c r="R396" s="26">
        <v>5539398490</v>
      </c>
      <c r="S396" s="31" t="s">
        <v>2217</v>
      </c>
      <c r="T396" s="26" t="s">
        <v>19</v>
      </c>
      <c r="U396" s="31" t="s">
        <v>2253</v>
      </c>
      <c r="V396" s="31" t="s">
        <v>1627</v>
      </c>
      <c r="W396" s="31" t="s">
        <v>1628</v>
      </c>
      <c r="X396" s="31" t="s">
        <v>99</v>
      </c>
      <c r="Y396" s="31">
        <v>72310</v>
      </c>
      <c r="Z396" s="31" t="s">
        <v>1384</v>
      </c>
      <c r="AA396" s="31" t="s">
        <v>1384</v>
      </c>
      <c r="AB396" s="31" t="s">
        <v>1629</v>
      </c>
      <c r="AC396" s="31">
        <v>2225030191</v>
      </c>
      <c r="AD396" s="31">
        <v>2221229131</v>
      </c>
    </row>
    <row r="397" spans="1:30" x14ac:dyDescent="0.2">
      <c r="A397" s="26">
        <v>11517</v>
      </c>
      <c r="B397" s="26">
        <f>VLOOKUP(A397,Hoja1!A:A,1,FALSE)</f>
        <v>11517</v>
      </c>
      <c r="C397" s="27" t="s">
        <v>1630</v>
      </c>
      <c r="D397" s="28" t="s">
        <v>1360</v>
      </c>
      <c r="E397" s="29" t="s">
        <v>16</v>
      </c>
      <c r="F397" s="29" t="s">
        <v>16</v>
      </c>
      <c r="G397" s="30">
        <v>39537</v>
      </c>
      <c r="H397" s="26" t="s">
        <v>49</v>
      </c>
      <c r="I397" s="26" t="s">
        <v>110</v>
      </c>
      <c r="J397" s="26" t="s">
        <v>110</v>
      </c>
      <c r="K397" s="26">
        <v>927</v>
      </c>
      <c r="L397" s="31" t="s">
        <v>1631</v>
      </c>
      <c r="M397" s="26">
        <v>4995</v>
      </c>
      <c r="N397" s="31" t="s">
        <v>1607</v>
      </c>
      <c r="O397" s="26">
        <v>2221863006</v>
      </c>
      <c r="P397" s="29" t="s">
        <v>2204</v>
      </c>
      <c r="Q397" s="31" t="s">
        <v>17</v>
      </c>
      <c r="R397" s="26">
        <v>5539398490</v>
      </c>
      <c r="S397" s="31" t="s">
        <v>2217</v>
      </c>
      <c r="T397" s="26" t="s">
        <v>19</v>
      </c>
      <c r="U397" s="31" t="s">
        <v>2253</v>
      </c>
      <c r="V397" s="31" t="s">
        <v>1632</v>
      </c>
      <c r="W397" s="31" t="s">
        <v>89</v>
      </c>
      <c r="X397" s="31" t="s">
        <v>99</v>
      </c>
      <c r="Y397" s="31">
        <v>75700</v>
      </c>
      <c r="Z397" s="31" t="s">
        <v>1614</v>
      </c>
      <c r="AA397" s="31" t="s">
        <v>1384</v>
      </c>
      <c r="AB397" s="31" t="s">
        <v>1633</v>
      </c>
      <c r="AC397" s="31">
        <v>2381921457</v>
      </c>
      <c r="AD397" s="31">
        <v>2383801828</v>
      </c>
    </row>
    <row r="398" spans="1:30" x14ac:dyDescent="0.2">
      <c r="A398" s="26">
        <v>11640</v>
      </c>
      <c r="B398" s="26">
        <f>VLOOKUP(A398,Hoja1!A:A,1,FALSE)</f>
        <v>11640</v>
      </c>
      <c r="C398" s="27" t="s">
        <v>1634</v>
      </c>
      <c r="D398" s="28" t="s">
        <v>1360</v>
      </c>
      <c r="E398" s="29" t="s">
        <v>16</v>
      </c>
      <c r="F398" s="29" t="s">
        <v>16</v>
      </c>
      <c r="G398" s="30">
        <v>43099</v>
      </c>
      <c r="H398" s="26" t="s">
        <v>49</v>
      </c>
      <c r="I398" s="26" t="s">
        <v>110</v>
      </c>
      <c r="J398" s="26" t="s">
        <v>110</v>
      </c>
      <c r="K398" s="26">
        <v>37968</v>
      </c>
      <c r="L398" s="31" t="s">
        <v>1635</v>
      </c>
      <c r="M398" s="26">
        <v>4995</v>
      </c>
      <c r="N398" s="31" t="s">
        <v>1607</v>
      </c>
      <c r="O398" s="26">
        <v>2221863006</v>
      </c>
      <c r="P398" s="29" t="s">
        <v>2204</v>
      </c>
      <c r="Q398" s="31" t="s">
        <v>17</v>
      </c>
      <c r="R398" s="26">
        <v>5539398490</v>
      </c>
      <c r="S398" s="31" t="s">
        <v>2217</v>
      </c>
      <c r="T398" s="26" t="s">
        <v>19</v>
      </c>
      <c r="U398" s="31" t="s">
        <v>2253</v>
      </c>
      <c r="V398" s="31" t="s">
        <v>1636</v>
      </c>
      <c r="W398" s="31" t="s">
        <v>1637</v>
      </c>
      <c r="X398" s="31" t="s">
        <v>1384</v>
      </c>
      <c r="Y398" s="31">
        <v>72310</v>
      </c>
      <c r="Z398" s="31" t="s">
        <v>1384</v>
      </c>
      <c r="AA398" s="31" t="s">
        <v>1384</v>
      </c>
      <c r="AB398" s="31" t="s">
        <v>1638</v>
      </c>
      <c r="AC398" s="31">
        <v>2222906851</v>
      </c>
      <c r="AD398" s="31">
        <v>2222906861</v>
      </c>
    </row>
    <row r="399" spans="1:30" x14ac:dyDescent="0.2">
      <c r="A399" s="26">
        <v>11883</v>
      </c>
      <c r="B399" s="26">
        <f>VLOOKUP(A399,Hoja1!A:A,1,FALSE)</f>
        <v>11883</v>
      </c>
      <c r="C399" s="27" t="s">
        <v>1639</v>
      </c>
      <c r="D399" s="28" t="s">
        <v>1360</v>
      </c>
      <c r="E399" s="29" t="s">
        <v>16</v>
      </c>
      <c r="F399" s="29" t="s">
        <v>16</v>
      </c>
      <c r="G399" s="30">
        <v>39069</v>
      </c>
      <c r="H399" s="26" t="s">
        <v>49</v>
      </c>
      <c r="I399" s="26" t="s">
        <v>50</v>
      </c>
      <c r="J399" s="26" t="s">
        <v>50</v>
      </c>
      <c r="K399" s="26">
        <v>38360</v>
      </c>
      <c r="L399" s="31" t="s">
        <v>1640</v>
      </c>
      <c r="M399" s="26">
        <v>4995</v>
      </c>
      <c r="N399" s="31" t="s">
        <v>1607</v>
      </c>
      <c r="O399" s="26">
        <v>2221863006</v>
      </c>
      <c r="P399" s="29" t="s">
        <v>2204</v>
      </c>
      <c r="Q399" s="31" t="s">
        <v>17</v>
      </c>
      <c r="R399" s="26">
        <v>5539398490</v>
      </c>
      <c r="S399" s="31" t="s">
        <v>2217</v>
      </c>
      <c r="T399" s="26" t="s">
        <v>19</v>
      </c>
      <c r="U399" s="31" t="s">
        <v>2253</v>
      </c>
      <c r="V399" s="31" t="s">
        <v>1641</v>
      </c>
      <c r="W399" s="31" t="s">
        <v>89</v>
      </c>
      <c r="X399" s="31" t="s">
        <v>99</v>
      </c>
      <c r="Y399" s="31">
        <v>72000</v>
      </c>
      <c r="Z399" s="31" t="s">
        <v>1384</v>
      </c>
      <c r="AA399" s="31" t="s">
        <v>1384</v>
      </c>
      <c r="AB399" s="31" t="s">
        <v>1642</v>
      </c>
      <c r="AC399" s="31">
        <v>2222425332</v>
      </c>
      <c r="AD399" s="31">
        <v>2222422000</v>
      </c>
    </row>
    <row r="400" spans="1:30" x14ac:dyDescent="0.2">
      <c r="A400" s="26">
        <v>11956</v>
      </c>
      <c r="B400" s="26">
        <f>VLOOKUP(A400,Hoja1!A:A,1,FALSE)</f>
        <v>11956</v>
      </c>
      <c r="C400" s="27" t="s">
        <v>1643</v>
      </c>
      <c r="D400" s="28" t="s">
        <v>1360</v>
      </c>
      <c r="E400" s="29" t="s">
        <v>16</v>
      </c>
      <c r="F400" s="29" t="s">
        <v>16</v>
      </c>
      <c r="G400" s="30">
        <v>42137</v>
      </c>
      <c r="H400" s="26" t="s">
        <v>49</v>
      </c>
      <c r="I400" s="26" t="s">
        <v>50</v>
      </c>
      <c r="J400" s="26" t="s">
        <v>50</v>
      </c>
      <c r="K400" s="26">
        <v>39967</v>
      </c>
      <c r="L400" s="31" t="s">
        <v>1961</v>
      </c>
      <c r="M400" s="26">
        <v>4995</v>
      </c>
      <c r="N400" s="31" t="s">
        <v>1607</v>
      </c>
      <c r="O400" s="26">
        <v>2221863006</v>
      </c>
      <c r="P400" s="29" t="s">
        <v>2204</v>
      </c>
      <c r="Q400" s="31" t="s">
        <v>17</v>
      </c>
      <c r="R400" s="26">
        <v>5539398490</v>
      </c>
      <c r="S400" s="31" t="s">
        <v>2217</v>
      </c>
      <c r="T400" s="26" t="s">
        <v>19</v>
      </c>
      <c r="U400" s="31" t="s">
        <v>2253</v>
      </c>
      <c r="V400" s="31" t="s">
        <v>1644</v>
      </c>
      <c r="W400" s="31" t="s">
        <v>2088</v>
      </c>
      <c r="X400" s="31" t="s">
        <v>99</v>
      </c>
      <c r="Y400" s="31">
        <v>72062</v>
      </c>
      <c r="Z400" s="31" t="s">
        <v>1384</v>
      </c>
      <c r="AA400" s="31" t="s">
        <v>1384</v>
      </c>
      <c r="AB400" s="31" t="s">
        <v>1645</v>
      </c>
      <c r="AC400" s="31">
        <v>2222243317</v>
      </c>
      <c r="AD400" s="31">
        <v>2222243317</v>
      </c>
    </row>
    <row r="401" spans="1:30" x14ac:dyDescent="0.2">
      <c r="A401" s="26">
        <v>11989</v>
      </c>
      <c r="B401" s="26">
        <f>VLOOKUP(A401,Hoja1!A:A,1,FALSE)</f>
        <v>11989</v>
      </c>
      <c r="C401" s="27" t="s">
        <v>1646</v>
      </c>
      <c r="D401" s="28" t="s">
        <v>1360</v>
      </c>
      <c r="E401" s="29" t="s">
        <v>16</v>
      </c>
      <c r="F401" s="29" t="s">
        <v>16</v>
      </c>
      <c r="G401" s="30">
        <v>43004</v>
      </c>
      <c r="H401" s="26" t="s">
        <v>49</v>
      </c>
      <c r="I401" s="26" t="s">
        <v>50</v>
      </c>
      <c r="J401" s="26" t="s">
        <v>50</v>
      </c>
      <c r="K401" s="26">
        <v>38967</v>
      </c>
      <c r="L401" s="31" t="s">
        <v>1647</v>
      </c>
      <c r="M401" s="26">
        <v>4995</v>
      </c>
      <c r="N401" s="31" t="s">
        <v>1607</v>
      </c>
      <c r="O401" s="26">
        <v>2221863006</v>
      </c>
      <c r="P401" s="29" t="s">
        <v>2204</v>
      </c>
      <c r="Q401" s="31" t="s">
        <v>17</v>
      </c>
      <c r="R401" s="26">
        <v>5539398490</v>
      </c>
      <c r="S401" s="31" t="s">
        <v>2217</v>
      </c>
      <c r="T401" s="26" t="s">
        <v>19</v>
      </c>
      <c r="U401" s="31" t="s">
        <v>2253</v>
      </c>
      <c r="V401" s="31" t="s">
        <v>1648</v>
      </c>
      <c r="W401" s="31" t="s">
        <v>1649</v>
      </c>
      <c r="X401" s="31" t="s">
        <v>99</v>
      </c>
      <c r="Y401" s="31">
        <v>72220</v>
      </c>
      <c r="Z401" s="31" t="s">
        <v>1384</v>
      </c>
      <c r="AA401" s="31" t="s">
        <v>1384</v>
      </c>
      <c r="AB401" s="31" t="s">
        <v>1650</v>
      </c>
      <c r="AC401" s="31">
        <v>7192276703</v>
      </c>
      <c r="AD401" s="31">
        <v>7192276703</v>
      </c>
    </row>
    <row r="402" spans="1:30" x14ac:dyDescent="0.2">
      <c r="A402" s="26">
        <v>12336</v>
      </c>
      <c r="B402" s="26">
        <f>VLOOKUP(A402,Hoja1!A:A,1,FALSE)</f>
        <v>12336</v>
      </c>
      <c r="C402" s="27" t="s">
        <v>1651</v>
      </c>
      <c r="D402" s="28" t="s">
        <v>1360</v>
      </c>
      <c r="E402" s="29" t="s">
        <v>16</v>
      </c>
      <c r="F402" s="29" t="s">
        <v>16</v>
      </c>
      <c r="G402" s="30">
        <v>43441</v>
      </c>
      <c r="H402" s="26" t="s">
        <v>49</v>
      </c>
      <c r="I402" s="26" t="s">
        <v>110</v>
      </c>
      <c r="J402" s="26" t="s">
        <v>110</v>
      </c>
      <c r="K402" s="26">
        <v>37717</v>
      </c>
      <c r="L402" s="31" t="s">
        <v>2119</v>
      </c>
      <c r="M402" s="26">
        <v>4995</v>
      </c>
      <c r="N402" s="31" t="s">
        <v>1607</v>
      </c>
      <c r="O402" s="26">
        <v>2221863006</v>
      </c>
      <c r="P402" s="29" t="s">
        <v>2204</v>
      </c>
      <c r="Q402" s="31" t="s">
        <v>17</v>
      </c>
      <c r="R402" s="26">
        <v>5539398490</v>
      </c>
      <c r="S402" s="31" t="s">
        <v>2217</v>
      </c>
      <c r="T402" s="26" t="s">
        <v>19</v>
      </c>
      <c r="U402" s="31" t="s">
        <v>2253</v>
      </c>
      <c r="V402" s="31" t="s">
        <v>2089</v>
      </c>
      <c r="W402" s="31" t="s">
        <v>1652</v>
      </c>
      <c r="X402" s="31" t="s">
        <v>99</v>
      </c>
      <c r="Y402" s="31">
        <v>72000</v>
      </c>
      <c r="Z402" s="31" t="s">
        <v>1384</v>
      </c>
      <c r="AA402" s="31" t="s">
        <v>1384</v>
      </c>
      <c r="AB402" s="31" t="s">
        <v>1653</v>
      </c>
      <c r="AC402" s="31">
        <v>2222275179</v>
      </c>
      <c r="AD402" s="31">
        <v>2224540121</v>
      </c>
    </row>
    <row r="403" spans="1:30" x14ac:dyDescent="0.2">
      <c r="A403" s="26">
        <v>12345</v>
      </c>
      <c r="B403" s="26">
        <f>VLOOKUP(A403,Hoja1!A:A,1,FALSE)</f>
        <v>12345</v>
      </c>
      <c r="C403" s="27" t="s">
        <v>1468</v>
      </c>
      <c r="D403" s="28" t="s">
        <v>1360</v>
      </c>
      <c r="E403" s="29" t="s">
        <v>16</v>
      </c>
      <c r="F403" s="29" t="s">
        <v>16</v>
      </c>
      <c r="G403" s="30">
        <v>43462</v>
      </c>
      <c r="H403" s="26" t="s">
        <v>49</v>
      </c>
      <c r="I403" s="26" t="s">
        <v>110</v>
      </c>
      <c r="J403" s="26" t="s">
        <v>110</v>
      </c>
      <c r="K403" s="26">
        <v>31323</v>
      </c>
      <c r="L403" s="31" t="s">
        <v>2120</v>
      </c>
      <c r="M403" s="26">
        <v>4995</v>
      </c>
      <c r="N403" s="31" t="s">
        <v>1607</v>
      </c>
      <c r="O403" s="26">
        <v>2221863006</v>
      </c>
      <c r="P403" s="29" t="s">
        <v>2204</v>
      </c>
      <c r="Q403" s="31" t="s">
        <v>17</v>
      </c>
      <c r="R403" s="26">
        <v>5539398490</v>
      </c>
      <c r="S403" s="31" t="s">
        <v>2217</v>
      </c>
      <c r="T403" s="26" t="s">
        <v>19</v>
      </c>
      <c r="U403" s="31" t="s">
        <v>2253</v>
      </c>
      <c r="V403" s="31" t="s">
        <v>2157</v>
      </c>
      <c r="W403" s="31" t="s">
        <v>1654</v>
      </c>
      <c r="X403" s="31" t="s">
        <v>99</v>
      </c>
      <c r="Y403" s="31">
        <v>72016</v>
      </c>
      <c r="Z403" s="31" t="s">
        <v>1384</v>
      </c>
      <c r="AA403" s="31" t="s">
        <v>1384</v>
      </c>
      <c r="AB403" s="31" t="s">
        <v>1655</v>
      </c>
      <c r="AC403" s="31">
        <v>2222147062</v>
      </c>
      <c r="AD403" s="31">
        <v>2224540122</v>
      </c>
    </row>
    <row r="404" spans="1:30" x14ac:dyDescent="0.2">
      <c r="A404" s="26">
        <v>11039</v>
      </c>
      <c r="B404" s="26">
        <f>VLOOKUP(A404,Hoja1!A:A,1,FALSE)</f>
        <v>11039</v>
      </c>
      <c r="C404" s="27" t="s">
        <v>1656</v>
      </c>
      <c r="D404" s="28" t="s">
        <v>1360</v>
      </c>
      <c r="E404" s="29" t="s">
        <v>16</v>
      </c>
      <c r="F404" s="29" t="s">
        <v>16</v>
      </c>
      <c r="G404" s="30">
        <v>33534</v>
      </c>
      <c r="H404" s="26" t="s">
        <v>49</v>
      </c>
      <c r="I404" s="26" t="s">
        <v>110</v>
      </c>
      <c r="J404" s="26" t="s">
        <v>110</v>
      </c>
      <c r="K404" s="26">
        <v>38323</v>
      </c>
      <c r="L404" s="31" t="s">
        <v>1657</v>
      </c>
      <c r="M404" s="26">
        <v>2340</v>
      </c>
      <c r="N404" s="31" t="s">
        <v>1658</v>
      </c>
      <c r="O404" s="26">
        <v>2299607461</v>
      </c>
      <c r="P404" s="29" t="s">
        <v>2205</v>
      </c>
      <c r="Q404" s="31" t="s">
        <v>17</v>
      </c>
      <c r="R404" s="26">
        <v>5539398490</v>
      </c>
      <c r="S404" s="31" t="s">
        <v>2217</v>
      </c>
      <c r="T404" s="26" t="s">
        <v>19</v>
      </c>
      <c r="U404" s="31" t="s">
        <v>2253</v>
      </c>
      <c r="V404" s="31" t="s">
        <v>1659</v>
      </c>
      <c r="W404" s="31" t="s">
        <v>1660</v>
      </c>
      <c r="X404" s="31" t="s">
        <v>99</v>
      </c>
      <c r="Y404" s="31">
        <v>94294</v>
      </c>
      <c r="Z404" s="31" t="s">
        <v>1661</v>
      </c>
      <c r="AA404" s="31" t="s">
        <v>1365</v>
      </c>
      <c r="AB404" s="31" t="s">
        <v>1662</v>
      </c>
      <c r="AC404" s="31">
        <v>2299379979</v>
      </c>
      <c r="AD404" s="31">
        <v>2299377033</v>
      </c>
    </row>
    <row r="405" spans="1:30" x14ac:dyDescent="0.2">
      <c r="A405" s="26">
        <v>11065</v>
      </c>
      <c r="B405" s="26">
        <f>VLOOKUP(A405,Hoja1!A:A,1,FALSE)</f>
        <v>11065</v>
      </c>
      <c r="C405" s="27" t="s">
        <v>1663</v>
      </c>
      <c r="D405" s="28" t="s">
        <v>1360</v>
      </c>
      <c r="E405" s="29" t="s">
        <v>16</v>
      </c>
      <c r="F405" s="29" t="s">
        <v>16</v>
      </c>
      <c r="G405" s="30">
        <v>33744</v>
      </c>
      <c r="H405" s="26" t="s">
        <v>49</v>
      </c>
      <c r="I405" s="26" t="s">
        <v>110</v>
      </c>
      <c r="J405" s="26" t="s">
        <v>110</v>
      </c>
      <c r="K405" s="26">
        <v>86539</v>
      </c>
      <c r="L405" s="31" t="s">
        <v>1664</v>
      </c>
      <c r="M405" s="26">
        <v>2340</v>
      </c>
      <c r="N405" s="31" t="s">
        <v>1658</v>
      </c>
      <c r="O405" s="26">
        <v>2299607461</v>
      </c>
      <c r="P405" s="29" t="s">
        <v>2205</v>
      </c>
      <c r="Q405" s="31" t="s">
        <v>17</v>
      </c>
      <c r="R405" s="26">
        <v>5539398490</v>
      </c>
      <c r="S405" s="31" t="s">
        <v>2217</v>
      </c>
      <c r="T405" s="26" t="s">
        <v>19</v>
      </c>
      <c r="U405" s="31" t="s">
        <v>2253</v>
      </c>
      <c r="V405" s="31" t="s">
        <v>1665</v>
      </c>
      <c r="W405" s="31" t="s">
        <v>89</v>
      </c>
      <c r="X405" s="31" t="s">
        <v>99</v>
      </c>
      <c r="Y405" s="31">
        <v>94500</v>
      </c>
      <c r="Z405" s="31" t="s">
        <v>1663</v>
      </c>
      <c r="AA405" s="31" t="s">
        <v>1365</v>
      </c>
      <c r="AB405" s="31" t="s">
        <v>1666</v>
      </c>
      <c r="AC405" s="31">
        <v>2717128560</v>
      </c>
      <c r="AD405" s="31">
        <v>2717141817</v>
      </c>
    </row>
    <row r="406" spans="1:30" x14ac:dyDescent="0.2">
      <c r="A406" s="26">
        <v>11128</v>
      </c>
      <c r="B406" s="26">
        <f>VLOOKUP(A406,Hoja1!A:A,1,FALSE)</f>
        <v>11128</v>
      </c>
      <c r="C406" s="27" t="s">
        <v>1667</v>
      </c>
      <c r="D406" s="28" t="s">
        <v>1360</v>
      </c>
      <c r="E406" s="29" t="s">
        <v>16</v>
      </c>
      <c r="F406" s="29" t="s">
        <v>16</v>
      </c>
      <c r="G406" s="30">
        <v>34677</v>
      </c>
      <c r="H406" s="26" t="s">
        <v>49</v>
      </c>
      <c r="I406" s="26" t="s">
        <v>110</v>
      </c>
      <c r="J406" s="26" t="s">
        <v>110</v>
      </c>
      <c r="K406" s="26">
        <v>87497</v>
      </c>
      <c r="L406" s="31" t="s">
        <v>1668</v>
      </c>
      <c r="M406" s="26">
        <v>2340</v>
      </c>
      <c r="N406" s="31" t="s">
        <v>1658</v>
      </c>
      <c r="O406" s="26">
        <v>2299607461</v>
      </c>
      <c r="P406" s="29" t="s">
        <v>2205</v>
      </c>
      <c r="Q406" s="31" t="s">
        <v>17</v>
      </c>
      <c r="R406" s="26">
        <v>5539398490</v>
      </c>
      <c r="S406" s="31" t="s">
        <v>2217</v>
      </c>
      <c r="T406" s="26" t="s">
        <v>19</v>
      </c>
      <c r="U406" s="31" t="s">
        <v>2253</v>
      </c>
      <c r="V406" s="31" t="s">
        <v>1669</v>
      </c>
      <c r="W406" s="31" t="s">
        <v>89</v>
      </c>
      <c r="X406" s="31" t="s">
        <v>99</v>
      </c>
      <c r="Y406" s="31">
        <v>94300</v>
      </c>
      <c r="Z406" s="31" t="s">
        <v>1667</v>
      </c>
      <c r="AA406" s="31" t="s">
        <v>1365</v>
      </c>
      <c r="AB406" s="31" t="s">
        <v>1670</v>
      </c>
      <c r="AC406" s="31">
        <v>2727214860</v>
      </c>
      <c r="AD406" s="31">
        <v>2727242211</v>
      </c>
    </row>
    <row r="407" spans="1:30" x14ac:dyDescent="0.2">
      <c r="A407" s="26">
        <v>11327</v>
      </c>
      <c r="B407" s="26">
        <f>VLOOKUP(A407,Hoja1!A:A,1,FALSE)</f>
        <v>11327</v>
      </c>
      <c r="C407" s="27" t="s">
        <v>1671</v>
      </c>
      <c r="D407" s="28" t="s">
        <v>1360</v>
      </c>
      <c r="E407" s="29" t="s">
        <v>16</v>
      </c>
      <c r="F407" s="29" t="s">
        <v>16</v>
      </c>
      <c r="G407" s="30">
        <v>36722</v>
      </c>
      <c r="H407" s="26" t="s">
        <v>49</v>
      </c>
      <c r="I407" s="26" t="s">
        <v>110</v>
      </c>
      <c r="J407" s="26" t="s">
        <v>110</v>
      </c>
      <c r="K407" s="26">
        <v>38346</v>
      </c>
      <c r="L407" s="31" t="s">
        <v>1672</v>
      </c>
      <c r="M407" s="26">
        <v>2340</v>
      </c>
      <c r="N407" s="31" t="s">
        <v>1658</v>
      </c>
      <c r="O407" s="26">
        <v>2299607461</v>
      </c>
      <c r="P407" s="29" t="s">
        <v>2205</v>
      </c>
      <c r="Q407" s="31" t="s">
        <v>17</v>
      </c>
      <c r="R407" s="26">
        <v>5539398490</v>
      </c>
      <c r="S407" s="31" t="s">
        <v>2217</v>
      </c>
      <c r="T407" s="26" t="s">
        <v>19</v>
      </c>
      <c r="U407" s="31" t="s">
        <v>2253</v>
      </c>
      <c r="V407" s="31" t="s">
        <v>1673</v>
      </c>
      <c r="W407" s="31" t="s">
        <v>216</v>
      </c>
      <c r="X407" s="31" t="s">
        <v>99</v>
      </c>
      <c r="Y407" s="31">
        <v>91779</v>
      </c>
      <c r="Z407" s="31" t="s">
        <v>1365</v>
      </c>
      <c r="AA407" s="31" t="s">
        <v>1365</v>
      </c>
      <c r="AB407" s="31" t="s">
        <v>1674</v>
      </c>
      <c r="AC407" s="31">
        <v>2293768259</v>
      </c>
      <c r="AD407" s="31">
        <v>2299819066</v>
      </c>
    </row>
    <row r="408" spans="1:30" x14ac:dyDescent="0.2">
      <c r="A408" s="26">
        <v>11336</v>
      </c>
      <c r="B408" s="26">
        <f>VLOOKUP(A408,Hoja1!A:A,1,FALSE)</f>
        <v>11336</v>
      </c>
      <c r="C408" s="27" t="s">
        <v>1675</v>
      </c>
      <c r="D408" s="28" t="s">
        <v>1360</v>
      </c>
      <c r="E408" s="29" t="s">
        <v>16</v>
      </c>
      <c r="F408" s="29" t="s">
        <v>16</v>
      </c>
      <c r="G408" s="30">
        <v>36931</v>
      </c>
      <c r="H408" s="26" t="s">
        <v>49</v>
      </c>
      <c r="I408" s="26" t="s">
        <v>110</v>
      </c>
      <c r="J408" s="26" t="s">
        <v>110</v>
      </c>
      <c r="K408" s="26">
        <v>36583</v>
      </c>
      <c r="L408" s="31" t="s">
        <v>1676</v>
      </c>
      <c r="M408" s="26">
        <v>2340</v>
      </c>
      <c r="N408" s="31" t="s">
        <v>1658</v>
      </c>
      <c r="O408" s="26">
        <v>2299607461</v>
      </c>
      <c r="P408" s="29" t="s">
        <v>2205</v>
      </c>
      <c r="Q408" s="31" t="s">
        <v>17</v>
      </c>
      <c r="R408" s="26">
        <v>5539398490</v>
      </c>
      <c r="S408" s="31" t="s">
        <v>2217</v>
      </c>
      <c r="T408" s="26" t="s">
        <v>19</v>
      </c>
      <c r="U408" s="31" t="s">
        <v>2253</v>
      </c>
      <c r="V408" s="31" t="s">
        <v>1677</v>
      </c>
      <c r="W408" s="31" t="s">
        <v>1678</v>
      </c>
      <c r="X408" s="31" t="s">
        <v>99</v>
      </c>
      <c r="Y408" s="31">
        <v>94293</v>
      </c>
      <c r="Z408" s="31" t="s">
        <v>1661</v>
      </c>
      <c r="AA408" s="31" t="s">
        <v>1365</v>
      </c>
      <c r="AB408" s="31" t="s">
        <v>1679</v>
      </c>
      <c r="AC408" s="31">
        <v>2299273357</v>
      </c>
      <c r="AD408" s="31">
        <v>2299212505</v>
      </c>
    </row>
    <row r="409" spans="1:30" x14ac:dyDescent="0.2">
      <c r="A409" s="26">
        <v>11411</v>
      </c>
      <c r="B409" s="26">
        <f>VLOOKUP(A409,Hoja1!A:A,1,FALSE)</f>
        <v>11411</v>
      </c>
      <c r="C409" s="27" t="s">
        <v>1680</v>
      </c>
      <c r="D409" s="28" t="s">
        <v>1360</v>
      </c>
      <c r="E409" s="29" t="s">
        <v>16</v>
      </c>
      <c r="F409" s="29" t="s">
        <v>16</v>
      </c>
      <c r="G409" s="30">
        <v>37613</v>
      </c>
      <c r="H409" s="26" t="s">
        <v>49</v>
      </c>
      <c r="I409" s="26" t="s">
        <v>110</v>
      </c>
      <c r="J409" s="26" t="s">
        <v>110</v>
      </c>
      <c r="K409" s="26">
        <v>121014</v>
      </c>
      <c r="L409" s="31" t="s">
        <v>1681</v>
      </c>
      <c r="M409" s="26">
        <v>2340</v>
      </c>
      <c r="N409" s="31" t="s">
        <v>1658</v>
      </c>
      <c r="O409" s="26">
        <v>2299607461</v>
      </c>
      <c r="P409" s="29" t="s">
        <v>2205</v>
      </c>
      <c r="Q409" s="31" t="s">
        <v>17</v>
      </c>
      <c r="R409" s="26">
        <v>5539398490</v>
      </c>
      <c r="S409" s="31" t="s">
        <v>2217</v>
      </c>
      <c r="T409" s="26" t="s">
        <v>19</v>
      </c>
      <c r="U409" s="31" t="s">
        <v>2253</v>
      </c>
      <c r="V409" s="31" t="s">
        <v>2090</v>
      </c>
      <c r="W409" s="31" t="s">
        <v>2091</v>
      </c>
      <c r="X409" s="31" t="s">
        <v>99</v>
      </c>
      <c r="Y409" s="31">
        <v>94290</v>
      </c>
      <c r="Z409" s="31" t="s">
        <v>1661</v>
      </c>
      <c r="AA409" s="31" t="s">
        <v>1365</v>
      </c>
      <c r="AB409" s="31" t="s">
        <v>1682</v>
      </c>
      <c r="AC409" s="31">
        <v>2293768260</v>
      </c>
      <c r="AD409" s="31">
        <v>2299224699</v>
      </c>
    </row>
    <row r="410" spans="1:30" x14ac:dyDescent="0.2">
      <c r="A410" s="26">
        <v>11582</v>
      </c>
      <c r="B410" s="26">
        <f>VLOOKUP(A410,Hoja1!A:A,1,FALSE)</f>
        <v>11582</v>
      </c>
      <c r="C410" s="27" t="s">
        <v>1683</v>
      </c>
      <c r="D410" s="28" t="s">
        <v>1360</v>
      </c>
      <c r="E410" s="29" t="s">
        <v>16</v>
      </c>
      <c r="F410" s="29" t="s">
        <v>16</v>
      </c>
      <c r="G410" s="30">
        <v>42350</v>
      </c>
      <c r="H410" s="26" t="s">
        <v>49</v>
      </c>
      <c r="I410" s="26" t="s">
        <v>110</v>
      </c>
      <c r="J410" s="26" t="s">
        <v>110</v>
      </c>
      <c r="K410" s="26">
        <v>36371</v>
      </c>
      <c r="L410" s="31" t="s">
        <v>1684</v>
      </c>
      <c r="M410" s="26">
        <v>2340</v>
      </c>
      <c r="N410" s="31" t="s">
        <v>1658</v>
      </c>
      <c r="O410" s="26">
        <v>2299607461</v>
      </c>
      <c r="P410" s="29" t="s">
        <v>2205</v>
      </c>
      <c r="Q410" s="31" t="s">
        <v>17</v>
      </c>
      <c r="R410" s="26">
        <v>5539398490</v>
      </c>
      <c r="S410" s="31" t="s">
        <v>2217</v>
      </c>
      <c r="T410" s="26" t="s">
        <v>19</v>
      </c>
      <c r="U410" s="31" t="s">
        <v>2253</v>
      </c>
      <c r="V410" s="31" t="s">
        <v>1685</v>
      </c>
      <c r="W410" s="31" t="s">
        <v>1686</v>
      </c>
      <c r="X410" s="31" t="s">
        <v>99</v>
      </c>
      <c r="Y410" s="31">
        <v>94470</v>
      </c>
      <c r="Z410" s="31" t="s">
        <v>1365</v>
      </c>
      <c r="AA410" s="31" t="s">
        <v>1365</v>
      </c>
      <c r="AB410" s="31" t="s">
        <v>1687</v>
      </c>
      <c r="AC410" s="31">
        <v>2714057071</v>
      </c>
      <c r="AD410" s="31">
        <v>2717133346</v>
      </c>
    </row>
    <row r="411" spans="1:30" x14ac:dyDescent="0.2">
      <c r="A411" s="26">
        <v>11604</v>
      </c>
      <c r="B411" s="26">
        <f>VLOOKUP(A411,Hoja1!A:A,1,FALSE)</f>
        <v>11604</v>
      </c>
      <c r="C411" s="27" t="s">
        <v>1688</v>
      </c>
      <c r="D411" s="28" t="s">
        <v>1360</v>
      </c>
      <c r="E411" s="29" t="s">
        <v>16</v>
      </c>
      <c r="F411" s="29" t="s">
        <v>16</v>
      </c>
      <c r="G411" s="30">
        <v>42713</v>
      </c>
      <c r="H411" s="26" t="s">
        <v>49</v>
      </c>
      <c r="I411" s="26" t="s">
        <v>110</v>
      </c>
      <c r="J411" s="26" t="s">
        <v>110</v>
      </c>
      <c r="K411" s="26">
        <v>35077</v>
      </c>
      <c r="L411" s="31" t="s">
        <v>1689</v>
      </c>
      <c r="M411" s="26">
        <v>2340</v>
      </c>
      <c r="N411" s="31" t="s">
        <v>1658</v>
      </c>
      <c r="O411" s="26">
        <v>2299607461</v>
      </c>
      <c r="P411" s="29" t="s">
        <v>2205</v>
      </c>
      <c r="Q411" s="31" t="s">
        <v>17</v>
      </c>
      <c r="R411" s="26">
        <v>5539398490</v>
      </c>
      <c r="S411" s="31" t="s">
        <v>2217</v>
      </c>
      <c r="T411" s="26" t="s">
        <v>19</v>
      </c>
      <c r="U411" s="31" t="s">
        <v>2253</v>
      </c>
      <c r="V411" s="31" t="s">
        <v>1690</v>
      </c>
      <c r="W411" s="31" t="s">
        <v>1691</v>
      </c>
      <c r="X411" s="31" t="s">
        <v>99</v>
      </c>
      <c r="Y411" s="31">
        <v>91700</v>
      </c>
      <c r="Z411" s="31" t="s">
        <v>1365</v>
      </c>
      <c r="AA411" s="31" t="s">
        <v>1365</v>
      </c>
      <c r="AB411" s="31" t="s">
        <v>1692</v>
      </c>
      <c r="AC411" s="31">
        <v>2293760376</v>
      </c>
      <c r="AD411" s="31">
        <v>2299310959</v>
      </c>
    </row>
    <row r="412" spans="1:30" x14ac:dyDescent="0.2">
      <c r="A412" s="26">
        <v>11817</v>
      </c>
      <c r="B412" s="26">
        <f>VLOOKUP(A412,Hoja1!A:A,1,FALSE)</f>
        <v>11817</v>
      </c>
      <c r="C412" s="27" t="s">
        <v>1693</v>
      </c>
      <c r="D412" s="28" t="s">
        <v>1360</v>
      </c>
      <c r="E412" s="29" t="s">
        <v>16</v>
      </c>
      <c r="F412" s="29" t="s">
        <v>16</v>
      </c>
      <c r="G412" s="30">
        <v>36874</v>
      </c>
      <c r="H412" s="26" t="s">
        <v>49</v>
      </c>
      <c r="I412" s="26" t="s">
        <v>50</v>
      </c>
      <c r="J412" s="26" t="s">
        <v>50</v>
      </c>
      <c r="K412" s="26">
        <v>122544</v>
      </c>
      <c r="L412" s="31" t="s">
        <v>1694</v>
      </c>
      <c r="M412" s="26">
        <v>2340</v>
      </c>
      <c r="N412" s="31" t="s">
        <v>1658</v>
      </c>
      <c r="O412" s="26">
        <v>2299607461</v>
      </c>
      <c r="P412" s="29" t="s">
        <v>2205</v>
      </c>
      <c r="Q412" s="31" t="s">
        <v>17</v>
      </c>
      <c r="R412" s="26">
        <v>5539398490</v>
      </c>
      <c r="S412" s="31" t="s">
        <v>2217</v>
      </c>
      <c r="T412" s="26" t="s">
        <v>19</v>
      </c>
      <c r="U412" s="31" t="s">
        <v>2253</v>
      </c>
      <c r="V412" s="31" t="s">
        <v>1695</v>
      </c>
      <c r="W412" s="31" t="s">
        <v>89</v>
      </c>
      <c r="X412" s="31" t="s">
        <v>99</v>
      </c>
      <c r="Y412" s="31">
        <v>91690</v>
      </c>
      <c r="Z412" s="31" t="s">
        <v>1365</v>
      </c>
      <c r="AA412" s="31" t="s">
        <v>1365</v>
      </c>
      <c r="AB412" s="31" t="s">
        <v>1696</v>
      </c>
      <c r="AC412" s="31">
        <v>2299326664</v>
      </c>
      <c r="AD412" s="31">
        <v>2299326664</v>
      </c>
    </row>
    <row r="413" spans="1:30" x14ac:dyDescent="0.2">
      <c r="A413" s="26">
        <v>11856</v>
      </c>
      <c r="B413" s="26">
        <f>VLOOKUP(A413,Hoja1!A:A,1,FALSE)</f>
        <v>11856</v>
      </c>
      <c r="C413" s="27" t="s">
        <v>1697</v>
      </c>
      <c r="D413" s="28" t="s">
        <v>1360</v>
      </c>
      <c r="E413" s="29" t="s">
        <v>16</v>
      </c>
      <c r="F413" s="29" t="s">
        <v>16</v>
      </c>
      <c r="G413" s="30">
        <v>38094</v>
      </c>
      <c r="H413" s="26" t="s">
        <v>49</v>
      </c>
      <c r="I413" s="26" t="s">
        <v>50</v>
      </c>
      <c r="J413" s="26" t="s">
        <v>153</v>
      </c>
      <c r="K413" s="26">
        <v>39171</v>
      </c>
      <c r="L413" s="31" t="s">
        <v>1698</v>
      </c>
      <c r="M413" s="26">
        <v>2340</v>
      </c>
      <c r="N413" s="31" t="s">
        <v>1658</v>
      </c>
      <c r="O413" s="26">
        <v>2299607461</v>
      </c>
      <c r="P413" s="29" t="s">
        <v>2205</v>
      </c>
      <c r="Q413" s="31" t="s">
        <v>17</v>
      </c>
      <c r="R413" s="26">
        <v>5539398490</v>
      </c>
      <c r="S413" s="31" t="s">
        <v>2217</v>
      </c>
      <c r="T413" s="26" t="s">
        <v>19</v>
      </c>
      <c r="U413" s="31" t="s">
        <v>2253</v>
      </c>
      <c r="V413" s="31" t="s">
        <v>1699</v>
      </c>
      <c r="W413" s="31" t="s">
        <v>1700</v>
      </c>
      <c r="X413" s="31" t="s">
        <v>99</v>
      </c>
      <c r="Y413" s="31">
        <v>94298</v>
      </c>
      <c r="Z413" s="31" t="s">
        <v>1661</v>
      </c>
      <c r="AA413" s="31" t="s">
        <v>1365</v>
      </c>
      <c r="AB413" s="31" t="s">
        <v>1701</v>
      </c>
      <c r="AC413" s="31">
        <v>2299273654</v>
      </c>
      <c r="AD413" s="31">
        <v>2299273654</v>
      </c>
    </row>
    <row r="414" spans="1:30" x14ac:dyDescent="0.2">
      <c r="A414" s="26">
        <v>12346</v>
      </c>
      <c r="B414" s="26">
        <f>VLOOKUP(A414,Hoja1!A:A,1,FALSE)</f>
        <v>12346</v>
      </c>
      <c r="C414" s="27" t="s">
        <v>1702</v>
      </c>
      <c r="D414" s="28" t="s">
        <v>1360</v>
      </c>
      <c r="E414" s="29" t="s">
        <v>16</v>
      </c>
      <c r="F414" s="29" t="s">
        <v>16</v>
      </c>
      <c r="G414" s="30">
        <v>43462</v>
      </c>
      <c r="H414" s="26" t="s">
        <v>49</v>
      </c>
      <c r="I414" s="26" t="s">
        <v>110</v>
      </c>
      <c r="J414" s="26" t="s">
        <v>110</v>
      </c>
      <c r="K414" s="26">
        <v>35639</v>
      </c>
      <c r="L414" s="31" t="s">
        <v>2121</v>
      </c>
      <c r="M414" s="26">
        <v>2340</v>
      </c>
      <c r="N414" s="31" t="s">
        <v>1658</v>
      </c>
      <c r="O414" s="26">
        <v>2299607461</v>
      </c>
      <c r="P414" s="29" t="s">
        <v>2205</v>
      </c>
      <c r="Q414" s="31" t="s">
        <v>17</v>
      </c>
      <c r="R414" s="26">
        <v>5539398490</v>
      </c>
      <c r="S414" s="31" t="s">
        <v>2217</v>
      </c>
      <c r="T414" s="26" t="s">
        <v>19</v>
      </c>
      <c r="U414" s="31" t="s">
        <v>2253</v>
      </c>
      <c r="V414" s="31" t="s">
        <v>1703</v>
      </c>
      <c r="W414" s="31" t="s">
        <v>89</v>
      </c>
      <c r="X414" s="31" t="s">
        <v>99</v>
      </c>
      <c r="Y414" s="31">
        <v>94730</v>
      </c>
      <c r="Z414" s="31" t="s">
        <v>2228</v>
      </c>
      <c r="AA414" s="31" t="s">
        <v>1365</v>
      </c>
      <c r="AB414" s="31" t="s">
        <v>1704</v>
      </c>
      <c r="AC414" s="31">
        <v>2721155146</v>
      </c>
      <c r="AD414" s="31">
        <v>2724540000</v>
      </c>
    </row>
    <row r="415" spans="1:30" x14ac:dyDescent="0.2">
      <c r="A415" s="15">
        <v>11122</v>
      </c>
      <c r="B415" s="26">
        <f>VLOOKUP(A415,Hoja1!A:A,1,FALSE)</f>
        <v>11122</v>
      </c>
      <c r="C415" s="13" t="s">
        <v>1812</v>
      </c>
      <c r="D415" s="35" t="s">
        <v>1706</v>
      </c>
      <c r="E415" s="33" t="s">
        <v>18</v>
      </c>
      <c r="F415" s="33" t="s">
        <v>18</v>
      </c>
      <c r="G415" s="34">
        <v>34512</v>
      </c>
      <c r="H415" s="15" t="s">
        <v>49</v>
      </c>
      <c r="I415" s="15" t="s">
        <v>110</v>
      </c>
      <c r="J415" s="15" t="s">
        <v>110</v>
      </c>
      <c r="K415" s="26">
        <v>16378</v>
      </c>
      <c r="L415" s="31" t="s">
        <v>1813</v>
      </c>
      <c r="M415" s="15">
        <v>2612</v>
      </c>
      <c r="N415" s="16" t="s">
        <v>1708</v>
      </c>
      <c r="O415" s="15">
        <v>9381377513</v>
      </c>
      <c r="P415" s="29" t="s">
        <v>2206</v>
      </c>
      <c r="Q415" s="16" t="s">
        <v>395</v>
      </c>
      <c r="R415" s="26" t="s">
        <v>99</v>
      </c>
      <c r="S415" s="31" t="s">
        <v>99</v>
      </c>
      <c r="T415" s="26" t="s">
        <v>19</v>
      </c>
      <c r="U415" s="31" t="s">
        <v>2253</v>
      </c>
      <c r="V415" s="16" t="s">
        <v>1814</v>
      </c>
      <c r="W415" s="31" t="s">
        <v>1815</v>
      </c>
      <c r="X415" s="31" t="s">
        <v>99</v>
      </c>
      <c r="Y415" s="31">
        <v>77016</v>
      </c>
      <c r="Z415" s="31" t="s">
        <v>1812</v>
      </c>
      <c r="AA415" s="31" t="s">
        <v>1747</v>
      </c>
      <c r="AB415" s="31" t="s">
        <v>1816</v>
      </c>
      <c r="AC415" s="31">
        <v>9838320364</v>
      </c>
      <c r="AD415" s="31">
        <v>9838330303</v>
      </c>
    </row>
    <row r="416" spans="1:30" x14ac:dyDescent="0.2">
      <c r="A416" s="15">
        <v>11147</v>
      </c>
      <c r="B416" s="26">
        <f>VLOOKUP(A416,Hoja1!A:A,1,FALSE)</f>
        <v>11147</v>
      </c>
      <c r="C416" s="13" t="s">
        <v>1705</v>
      </c>
      <c r="D416" s="35" t="s">
        <v>1706</v>
      </c>
      <c r="E416" s="33" t="s">
        <v>18</v>
      </c>
      <c r="F416" s="33" t="s">
        <v>18</v>
      </c>
      <c r="G416" s="34">
        <v>35374</v>
      </c>
      <c r="H416" s="15" t="s">
        <v>49</v>
      </c>
      <c r="I416" s="15" t="s">
        <v>110</v>
      </c>
      <c r="J416" s="15" t="s">
        <v>110</v>
      </c>
      <c r="K416" s="26">
        <v>16163</v>
      </c>
      <c r="L416" s="31" t="s">
        <v>1707</v>
      </c>
      <c r="M416" s="15">
        <v>2612</v>
      </c>
      <c r="N416" s="16" t="s">
        <v>1708</v>
      </c>
      <c r="O416" s="15">
        <v>9381377513</v>
      </c>
      <c r="P416" s="29" t="s">
        <v>2206</v>
      </c>
      <c r="Q416" s="16" t="s">
        <v>395</v>
      </c>
      <c r="R416" s="26" t="s">
        <v>99</v>
      </c>
      <c r="S416" s="31" t="s">
        <v>99</v>
      </c>
      <c r="T416" s="26" t="s">
        <v>19</v>
      </c>
      <c r="U416" s="31" t="s">
        <v>2253</v>
      </c>
      <c r="V416" s="16" t="s">
        <v>1709</v>
      </c>
      <c r="W416" s="31" t="s">
        <v>1710</v>
      </c>
      <c r="X416" s="31" t="s">
        <v>99</v>
      </c>
      <c r="Y416" s="31">
        <v>24090</v>
      </c>
      <c r="Z416" s="31" t="s">
        <v>1711</v>
      </c>
      <c r="AA416" s="31" t="s">
        <v>1711</v>
      </c>
      <c r="AB416" s="31" t="s">
        <v>1712</v>
      </c>
      <c r="AC416" s="31">
        <v>9818131069</v>
      </c>
      <c r="AD416" s="31">
        <v>9818166166</v>
      </c>
    </row>
    <row r="417" spans="1:30" x14ac:dyDescent="0.2">
      <c r="A417" s="15">
        <v>11158</v>
      </c>
      <c r="B417" s="26">
        <f>VLOOKUP(A417,Hoja1!A:A,1,FALSE)</f>
        <v>11158</v>
      </c>
      <c r="C417" s="13" t="s">
        <v>1713</v>
      </c>
      <c r="D417" s="35" t="s">
        <v>1706</v>
      </c>
      <c r="E417" s="33" t="s">
        <v>18</v>
      </c>
      <c r="F417" s="33" t="s">
        <v>18</v>
      </c>
      <c r="G417" s="34">
        <v>35703</v>
      </c>
      <c r="H417" s="15" t="s">
        <v>49</v>
      </c>
      <c r="I417" s="15" t="s">
        <v>110</v>
      </c>
      <c r="J417" s="15" t="s">
        <v>110</v>
      </c>
      <c r="K417" s="26">
        <v>16573</v>
      </c>
      <c r="L417" s="31" t="s">
        <v>1714</v>
      </c>
      <c r="M417" s="15">
        <v>2612</v>
      </c>
      <c r="N417" s="16" t="s">
        <v>1708</v>
      </c>
      <c r="O417" s="15">
        <v>9381377513</v>
      </c>
      <c r="P417" s="29" t="s">
        <v>2206</v>
      </c>
      <c r="Q417" s="16" t="s">
        <v>395</v>
      </c>
      <c r="R417" s="26" t="s">
        <v>99</v>
      </c>
      <c r="S417" s="31" t="s">
        <v>99</v>
      </c>
      <c r="T417" s="26" t="s">
        <v>19</v>
      </c>
      <c r="U417" s="31" t="s">
        <v>2253</v>
      </c>
      <c r="V417" s="16" t="s">
        <v>1715</v>
      </c>
      <c r="W417" s="31" t="s">
        <v>1716</v>
      </c>
      <c r="X417" s="31" t="s">
        <v>99</v>
      </c>
      <c r="Y417" s="31">
        <v>24170</v>
      </c>
      <c r="Z417" s="31" t="s">
        <v>1713</v>
      </c>
      <c r="AA417" s="31" t="s">
        <v>1711</v>
      </c>
      <c r="AB417" s="31" t="s">
        <v>1717</v>
      </c>
      <c r="AC417" s="31">
        <v>9383822131</v>
      </c>
      <c r="AD417" s="31">
        <v>9383823232</v>
      </c>
    </row>
    <row r="418" spans="1:30" x14ac:dyDescent="0.2">
      <c r="A418" s="15">
        <v>11303</v>
      </c>
      <c r="B418" s="26">
        <f>VLOOKUP(A418,Hoja1!A:A,1,FALSE)</f>
        <v>11303</v>
      </c>
      <c r="C418" s="13" t="s">
        <v>1718</v>
      </c>
      <c r="D418" s="35" t="s">
        <v>1706</v>
      </c>
      <c r="E418" s="33" t="s">
        <v>18</v>
      </c>
      <c r="F418" s="33" t="s">
        <v>18</v>
      </c>
      <c r="G418" s="34">
        <v>36577</v>
      </c>
      <c r="H418" s="15" t="s">
        <v>49</v>
      </c>
      <c r="I418" s="15" t="s">
        <v>110</v>
      </c>
      <c r="J418" s="15" t="s">
        <v>110</v>
      </c>
      <c r="K418" s="26">
        <v>15945</v>
      </c>
      <c r="L418" s="31" t="s">
        <v>1719</v>
      </c>
      <c r="M418" s="15">
        <v>2612</v>
      </c>
      <c r="N418" s="16" t="s">
        <v>1708</v>
      </c>
      <c r="O418" s="15">
        <v>9381377513</v>
      </c>
      <c r="P418" s="29" t="s">
        <v>2206</v>
      </c>
      <c r="Q418" s="16" t="s">
        <v>395</v>
      </c>
      <c r="R418" s="26" t="s">
        <v>99</v>
      </c>
      <c r="S418" s="31" t="s">
        <v>99</v>
      </c>
      <c r="T418" s="26" t="s">
        <v>19</v>
      </c>
      <c r="U418" s="31" t="s">
        <v>2253</v>
      </c>
      <c r="V418" s="16" t="s">
        <v>1720</v>
      </c>
      <c r="W418" s="31" t="s">
        <v>1721</v>
      </c>
      <c r="X418" s="31" t="s">
        <v>99</v>
      </c>
      <c r="Y418" s="31">
        <v>24010</v>
      </c>
      <c r="Z418" s="31" t="s">
        <v>1711</v>
      </c>
      <c r="AA418" s="31" t="s">
        <v>1711</v>
      </c>
      <c r="AB418" s="31" t="s">
        <v>1722</v>
      </c>
      <c r="AC418" s="31">
        <v>9818114646</v>
      </c>
      <c r="AD418" s="31">
        <v>9818115050</v>
      </c>
    </row>
    <row r="419" spans="1:30" x14ac:dyDescent="0.2">
      <c r="A419" s="15">
        <v>11304</v>
      </c>
      <c r="B419" s="26">
        <f>VLOOKUP(A419,Hoja1!A:A,1,FALSE)</f>
        <v>11304</v>
      </c>
      <c r="C419" s="13" t="s">
        <v>1723</v>
      </c>
      <c r="D419" s="35" t="s">
        <v>1706</v>
      </c>
      <c r="E419" s="33" t="s">
        <v>18</v>
      </c>
      <c r="F419" s="33" t="s">
        <v>18</v>
      </c>
      <c r="G419" s="34">
        <v>36617</v>
      </c>
      <c r="H419" s="15" t="s">
        <v>49</v>
      </c>
      <c r="I419" s="15" t="s">
        <v>110</v>
      </c>
      <c r="J419" s="15" t="s">
        <v>110</v>
      </c>
      <c r="K419" s="26">
        <v>89630</v>
      </c>
      <c r="L419" s="31" t="s">
        <v>1724</v>
      </c>
      <c r="M419" s="15">
        <v>2612</v>
      </c>
      <c r="N419" s="16" t="s">
        <v>1708</v>
      </c>
      <c r="O419" s="15">
        <v>9381377513</v>
      </c>
      <c r="P419" s="29" t="s">
        <v>2206</v>
      </c>
      <c r="Q419" s="16" t="s">
        <v>395</v>
      </c>
      <c r="R419" s="26" t="s">
        <v>99</v>
      </c>
      <c r="S419" s="31" t="s">
        <v>99</v>
      </c>
      <c r="T419" s="26" t="s">
        <v>19</v>
      </c>
      <c r="U419" s="31" t="s">
        <v>2253</v>
      </c>
      <c r="V419" s="16" t="s">
        <v>1725</v>
      </c>
      <c r="W419" s="31" t="s">
        <v>1726</v>
      </c>
      <c r="X419" s="31" t="s">
        <v>99</v>
      </c>
      <c r="Y419" s="31">
        <v>24158</v>
      </c>
      <c r="Z419" s="31" t="s">
        <v>1713</v>
      </c>
      <c r="AA419" s="31" t="s">
        <v>1711</v>
      </c>
      <c r="AB419" s="31" t="s">
        <v>1727</v>
      </c>
      <c r="AC419" s="31">
        <v>9383832206</v>
      </c>
      <c r="AD419" s="31">
        <v>9383832200</v>
      </c>
    </row>
    <row r="420" spans="1:30" x14ac:dyDescent="0.2">
      <c r="A420" s="15">
        <v>11368</v>
      </c>
      <c r="B420" s="26">
        <f>VLOOKUP(A420,Hoja1!A:A,1,FALSE)</f>
        <v>11368</v>
      </c>
      <c r="C420" s="13" t="s">
        <v>1824</v>
      </c>
      <c r="D420" s="35" t="s">
        <v>1706</v>
      </c>
      <c r="E420" s="33" t="s">
        <v>18</v>
      </c>
      <c r="F420" s="33" t="s">
        <v>18</v>
      </c>
      <c r="G420" s="34">
        <v>37183</v>
      </c>
      <c r="H420" s="15" t="s">
        <v>49</v>
      </c>
      <c r="I420" s="15" t="s">
        <v>110</v>
      </c>
      <c r="J420" s="15" t="s">
        <v>110</v>
      </c>
      <c r="K420" s="26">
        <v>15834</v>
      </c>
      <c r="L420" s="31" t="s">
        <v>1825</v>
      </c>
      <c r="M420" s="15">
        <v>2612</v>
      </c>
      <c r="N420" s="16" t="s">
        <v>1708</v>
      </c>
      <c r="O420" s="15">
        <v>9381377513</v>
      </c>
      <c r="P420" s="29" t="s">
        <v>2206</v>
      </c>
      <c r="Q420" s="16" t="s">
        <v>395</v>
      </c>
      <c r="R420" s="26" t="s">
        <v>99</v>
      </c>
      <c r="S420" s="31" t="s">
        <v>99</v>
      </c>
      <c r="T420" s="26" t="s">
        <v>19</v>
      </c>
      <c r="U420" s="31" t="s">
        <v>2253</v>
      </c>
      <c r="V420" s="16" t="s">
        <v>1826</v>
      </c>
      <c r="W420" s="31" t="s">
        <v>1827</v>
      </c>
      <c r="X420" s="31" t="s">
        <v>99</v>
      </c>
      <c r="Y420" s="31">
        <v>77017</v>
      </c>
      <c r="Z420" s="31" t="s">
        <v>1812</v>
      </c>
      <c r="AA420" s="31" t="s">
        <v>1747</v>
      </c>
      <c r="AB420" s="31" t="s">
        <v>1828</v>
      </c>
      <c r="AC420" s="31">
        <v>9838332568</v>
      </c>
      <c r="AD420" s="31">
        <v>9838332570</v>
      </c>
    </row>
    <row r="421" spans="1:30" x14ac:dyDescent="0.2">
      <c r="A421" s="15">
        <v>11462</v>
      </c>
      <c r="B421" s="26">
        <f>VLOOKUP(A421,Hoja1!A:A,1,FALSE)</f>
        <v>11462</v>
      </c>
      <c r="C421" s="13" t="s">
        <v>1728</v>
      </c>
      <c r="D421" s="35" t="s">
        <v>1706</v>
      </c>
      <c r="E421" s="33" t="s">
        <v>18</v>
      </c>
      <c r="F421" s="33" t="s">
        <v>18</v>
      </c>
      <c r="G421" s="34">
        <v>38461</v>
      </c>
      <c r="H421" s="15" t="s">
        <v>49</v>
      </c>
      <c r="I421" s="15" t="s">
        <v>110</v>
      </c>
      <c r="J421" s="15" t="s">
        <v>110</v>
      </c>
      <c r="K421" s="26">
        <v>15981</v>
      </c>
      <c r="L421" s="31" t="s">
        <v>1729</v>
      </c>
      <c r="M421" s="15">
        <v>2612</v>
      </c>
      <c r="N421" s="16" t="s">
        <v>1708</v>
      </c>
      <c r="O421" s="15">
        <v>9381377513</v>
      </c>
      <c r="P421" s="29" t="s">
        <v>2206</v>
      </c>
      <c r="Q421" s="16" t="s">
        <v>395</v>
      </c>
      <c r="R421" s="26" t="s">
        <v>99</v>
      </c>
      <c r="S421" s="31" t="s">
        <v>99</v>
      </c>
      <c r="T421" s="26" t="s">
        <v>19</v>
      </c>
      <c r="U421" s="31" t="s">
        <v>2253</v>
      </c>
      <c r="V421" s="16" t="s">
        <v>1730</v>
      </c>
      <c r="W421" s="31" t="s">
        <v>89</v>
      </c>
      <c r="X421" s="31" t="s">
        <v>99</v>
      </c>
      <c r="Y421" s="31">
        <v>24100</v>
      </c>
      <c r="Z421" s="31" t="s">
        <v>1713</v>
      </c>
      <c r="AA421" s="31" t="s">
        <v>1711</v>
      </c>
      <c r="AB421" s="31" t="s">
        <v>1731</v>
      </c>
      <c r="AC421" s="31">
        <v>9382861542</v>
      </c>
      <c r="AD421" s="31">
        <v>9382862020</v>
      </c>
    </row>
    <row r="422" spans="1:30" x14ac:dyDescent="0.2">
      <c r="A422" s="15">
        <v>11464</v>
      </c>
      <c r="B422" s="26">
        <f>VLOOKUP(A422,Hoja1!A:A,1,FALSE)</f>
        <v>11464</v>
      </c>
      <c r="C422" s="13" t="s">
        <v>1829</v>
      </c>
      <c r="D422" s="35" t="s">
        <v>1706</v>
      </c>
      <c r="E422" s="33" t="s">
        <v>18</v>
      </c>
      <c r="F422" s="33" t="s">
        <v>18</v>
      </c>
      <c r="G422" s="34">
        <v>38491</v>
      </c>
      <c r="H422" s="15" t="s">
        <v>49</v>
      </c>
      <c r="I422" s="15" t="s">
        <v>110</v>
      </c>
      <c r="J422" s="15" t="s">
        <v>110</v>
      </c>
      <c r="K422" s="26">
        <v>51550</v>
      </c>
      <c r="L422" s="31" t="s">
        <v>1830</v>
      </c>
      <c r="M422" s="15">
        <v>2612</v>
      </c>
      <c r="N422" s="16" t="s">
        <v>1708</v>
      </c>
      <c r="O422" s="15">
        <v>9381377513</v>
      </c>
      <c r="P422" s="29" t="s">
        <v>2206</v>
      </c>
      <c r="Q422" s="16" t="s">
        <v>395</v>
      </c>
      <c r="R422" s="26" t="s">
        <v>99</v>
      </c>
      <c r="S422" s="31" t="s">
        <v>99</v>
      </c>
      <c r="T422" s="26" t="s">
        <v>19</v>
      </c>
      <c r="U422" s="31" t="s">
        <v>2253</v>
      </c>
      <c r="V422" s="16" t="s">
        <v>1831</v>
      </c>
      <c r="W422" s="31" t="s">
        <v>1832</v>
      </c>
      <c r="X422" s="31" t="s">
        <v>99</v>
      </c>
      <c r="Y422" s="31">
        <v>77084</v>
      </c>
      <c r="Z422" s="31" t="s">
        <v>1812</v>
      </c>
      <c r="AA422" s="31" t="s">
        <v>1747</v>
      </c>
      <c r="AB422" s="31" t="s">
        <v>1833</v>
      </c>
      <c r="AC422" s="31">
        <v>9832088354</v>
      </c>
      <c r="AD422" s="31">
        <v>9832088353</v>
      </c>
    </row>
    <row r="423" spans="1:30" x14ac:dyDescent="0.2">
      <c r="A423" s="15">
        <v>11523</v>
      </c>
      <c r="B423" s="26">
        <f>VLOOKUP(A423,Hoja1!A:A,1,FALSE)</f>
        <v>11523</v>
      </c>
      <c r="C423" s="13" t="s">
        <v>1732</v>
      </c>
      <c r="D423" s="35" t="s">
        <v>1706</v>
      </c>
      <c r="E423" s="33" t="s">
        <v>18</v>
      </c>
      <c r="F423" s="33" t="s">
        <v>18</v>
      </c>
      <c r="G423" s="34">
        <v>39554</v>
      </c>
      <c r="H423" s="15" t="s">
        <v>49</v>
      </c>
      <c r="I423" s="15" t="s">
        <v>110</v>
      </c>
      <c r="J423" s="15" t="s">
        <v>110</v>
      </c>
      <c r="K423" s="26">
        <v>16083</v>
      </c>
      <c r="L423" s="31" t="s">
        <v>1733</v>
      </c>
      <c r="M423" s="15">
        <v>2612</v>
      </c>
      <c r="N423" s="16" t="s">
        <v>1708</v>
      </c>
      <c r="O423" s="15">
        <v>9381377513</v>
      </c>
      <c r="P423" s="29" t="s">
        <v>2206</v>
      </c>
      <c r="Q423" s="16" t="s">
        <v>395</v>
      </c>
      <c r="R423" s="26" t="s">
        <v>99</v>
      </c>
      <c r="S423" s="31" t="s">
        <v>99</v>
      </c>
      <c r="T423" s="26" t="s">
        <v>19</v>
      </c>
      <c r="U423" s="31" t="s">
        <v>2253</v>
      </c>
      <c r="V423" s="16" t="s">
        <v>1734</v>
      </c>
      <c r="W423" s="31" t="s">
        <v>1735</v>
      </c>
      <c r="X423" s="31" t="s">
        <v>99</v>
      </c>
      <c r="Y423" s="31">
        <v>24157</v>
      </c>
      <c r="Z423" s="31" t="s">
        <v>1713</v>
      </c>
      <c r="AA423" s="31" t="s">
        <v>1711</v>
      </c>
      <c r="AB423" s="31" t="s">
        <v>1736</v>
      </c>
      <c r="AC423" s="31">
        <v>9381183075</v>
      </c>
      <c r="AD423" s="31">
        <v>9381183070</v>
      </c>
    </row>
    <row r="424" spans="1:30" x14ac:dyDescent="0.2">
      <c r="A424" s="15">
        <v>11935</v>
      </c>
      <c r="B424" s="26">
        <f>VLOOKUP(A424,Hoja1!A:A,1,FALSE)</f>
        <v>11935</v>
      </c>
      <c r="C424" s="13" t="s">
        <v>1737</v>
      </c>
      <c r="D424" s="35" t="s">
        <v>1706</v>
      </c>
      <c r="E424" s="33" t="s">
        <v>18</v>
      </c>
      <c r="F424" s="33" t="s">
        <v>18</v>
      </c>
      <c r="G424" s="34">
        <v>41516</v>
      </c>
      <c r="H424" s="15" t="s">
        <v>49</v>
      </c>
      <c r="I424" s="15" t="s">
        <v>50</v>
      </c>
      <c r="J424" s="15" t="s">
        <v>153</v>
      </c>
      <c r="K424" s="26">
        <v>16810</v>
      </c>
      <c r="L424" s="31" t="s">
        <v>1738</v>
      </c>
      <c r="M424" s="15">
        <v>2612</v>
      </c>
      <c r="N424" s="16" t="s">
        <v>1708</v>
      </c>
      <c r="O424" s="15">
        <v>9381377513</v>
      </c>
      <c r="P424" s="29" t="s">
        <v>2206</v>
      </c>
      <c r="Q424" s="16" t="s">
        <v>395</v>
      </c>
      <c r="R424" s="26" t="s">
        <v>99</v>
      </c>
      <c r="S424" s="31" t="s">
        <v>99</v>
      </c>
      <c r="T424" s="26" t="s">
        <v>19</v>
      </c>
      <c r="U424" s="31" t="s">
        <v>2253</v>
      </c>
      <c r="V424" s="16" t="s">
        <v>1739</v>
      </c>
      <c r="W424" s="31" t="s">
        <v>1740</v>
      </c>
      <c r="X424" s="31" t="s">
        <v>99</v>
      </c>
      <c r="Y424" s="31">
        <v>24014</v>
      </c>
      <c r="Z424" s="31" t="s">
        <v>1711</v>
      </c>
      <c r="AA424" s="31" t="s">
        <v>1711</v>
      </c>
      <c r="AB424" s="31" t="s">
        <v>1741</v>
      </c>
      <c r="AC424" s="31">
        <v>9811336380</v>
      </c>
      <c r="AD424" s="31">
        <v>9811336380</v>
      </c>
    </row>
    <row r="425" spans="1:30" x14ac:dyDescent="0.2">
      <c r="A425" s="15">
        <v>11175</v>
      </c>
      <c r="B425" s="26">
        <f>VLOOKUP(A425,Hoja1!A:A,1,FALSE)</f>
        <v>11175</v>
      </c>
      <c r="C425" s="13" t="s">
        <v>1749</v>
      </c>
      <c r="D425" s="35" t="s">
        <v>1706</v>
      </c>
      <c r="E425" s="33" t="s">
        <v>18</v>
      </c>
      <c r="F425" s="33" t="s">
        <v>18</v>
      </c>
      <c r="G425" s="34">
        <v>35884</v>
      </c>
      <c r="H425" s="15" t="s">
        <v>49</v>
      </c>
      <c r="I425" s="15" t="s">
        <v>110</v>
      </c>
      <c r="J425" s="15" t="s">
        <v>87</v>
      </c>
      <c r="K425" s="26">
        <v>92797</v>
      </c>
      <c r="L425" s="31" t="s">
        <v>1750</v>
      </c>
      <c r="M425" s="26">
        <v>6286</v>
      </c>
      <c r="N425" s="16" t="s">
        <v>1867</v>
      </c>
      <c r="O425" s="26">
        <v>9841369879</v>
      </c>
      <c r="P425" s="16" t="s">
        <v>2463</v>
      </c>
      <c r="Q425" s="16" t="s">
        <v>395</v>
      </c>
      <c r="R425" s="26" t="s">
        <v>99</v>
      </c>
      <c r="S425" s="31" t="s">
        <v>99</v>
      </c>
      <c r="T425" s="26" t="s">
        <v>19</v>
      </c>
      <c r="U425" s="31" t="s">
        <v>2253</v>
      </c>
      <c r="V425" s="16" t="s">
        <v>1751</v>
      </c>
      <c r="W425" s="31" t="s">
        <v>1752</v>
      </c>
      <c r="X425" s="31" t="s">
        <v>99</v>
      </c>
      <c r="Y425" s="31">
        <v>77515</v>
      </c>
      <c r="Z425" s="31" t="s">
        <v>1746</v>
      </c>
      <c r="AA425" s="31" t="s">
        <v>1747</v>
      </c>
      <c r="AB425" s="31" t="s">
        <v>1753</v>
      </c>
      <c r="AC425" s="31">
        <v>9988869961</v>
      </c>
      <c r="AD425" s="31">
        <v>9982960150</v>
      </c>
    </row>
    <row r="426" spans="1:30" x14ac:dyDescent="0.2">
      <c r="A426" s="15">
        <v>11212</v>
      </c>
      <c r="B426" s="26">
        <f>VLOOKUP(A426,Hoja1!A:A,1,FALSE)</f>
        <v>11212</v>
      </c>
      <c r="C426" s="13" t="s">
        <v>1856</v>
      </c>
      <c r="D426" s="35" t="s">
        <v>1706</v>
      </c>
      <c r="E426" s="33" t="s">
        <v>18</v>
      </c>
      <c r="F426" s="33" t="s">
        <v>18</v>
      </c>
      <c r="G426" s="34">
        <v>36180</v>
      </c>
      <c r="H426" s="15" t="s">
        <v>49</v>
      </c>
      <c r="I426" s="15" t="s">
        <v>110</v>
      </c>
      <c r="J426" s="15" t="s">
        <v>110</v>
      </c>
      <c r="K426" s="26">
        <v>29272</v>
      </c>
      <c r="L426" s="31" t="s">
        <v>1857</v>
      </c>
      <c r="M426" s="26">
        <v>6286</v>
      </c>
      <c r="N426" s="16" t="s">
        <v>1867</v>
      </c>
      <c r="O426" s="26">
        <v>9841369879</v>
      </c>
      <c r="P426" s="16" t="s">
        <v>2463</v>
      </c>
      <c r="Q426" s="16" t="s">
        <v>395</v>
      </c>
      <c r="R426" s="26" t="s">
        <v>99</v>
      </c>
      <c r="S426" s="31" t="s">
        <v>99</v>
      </c>
      <c r="T426" s="26" t="s">
        <v>19</v>
      </c>
      <c r="U426" s="31" t="s">
        <v>2253</v>
      </c>
      <c r="V426" s="16" t="s">
        <v>1858</v>
      </c>
      <c r="W426" s="31" t="s">
        <v>1859</v>
      </c>
      <c r="X426" s="31" t="s">
        <v>99</v>
      </c>
      <c r="Y426" s="31">
        <v>77527</v>
      </c>
      <c r="Z426" s="31" t="s">
        <v>1746</v>
      </c>
      <c r="AA426" s="31" t="s">
        <v>1747</v>
      </c>
      <c r="AB426" s="31" t="s">
        <v>1860</v>
      </c>
      <c r="AC426" s="31">
        <v>9983642010</v>
      </c>
      <c r="AD426" s="31">
        <v>9982671500</v>
      </c>
    </row>
    <row r="427" spans="1:30" x14ac:dyDescent="0.2">
      <c r="A427" s="15">
        <v>11457</v>
      </c>
      <c r="B427" s="26">
        <f>VLOOKUP(A427,Hoja1!A:A,1,FALSE)</f>
        <v>11457</v>
      </c>
      <c r="C427" s="13" t="s">
        <v>1768</v>
      </c>
      <c r="D427" s="35" t="s">
        <v>1706</v>
      </c>
      <c r="E427" s="33" t="s">
        <v>18</v>
      </c>
      <c r="F427" s="33" t="s">
        <v>18</v>
      </c>
      <c r="G427" s="34">
        <v>38348</v>
      </c>
      <c r="H427" s="15" t="s">
        <v>49</v>
      </c>
      <c r="I427" s="15" t="s">
        <v>110</v>
      </c>
      <c r="J427" s="15" t="s">
        <v>110</v>
      </c>
      <c r="K427" s="26">
        <v>16867</v>
      </c>
      <c r="L427" s="31" t="s">
        <v>1769</v>
      </c>
      <c r="M427" s="26">
        <v>6286</v>
      </c>
      <c r="N427" s="16" t="s">
        <v>1867</v>
      </c>
      <c r="O427" s="26">
        <v>9841369879</v>
      </c>
      <c r="P427" s="16" t="s">
        <v>2463</v>
      </c>
      <c r="Q427" s="16" t="s">
        <v>395</v>
      </c>
      <c r="R427" s="26" t="s">
        <v>99</v>
      </c>
      <c r="S427" s="31" t="s">
        <v>99</v>
      </c>
      <c r="T427" s="26" t="s">
        <v>19</v>
      </c>
      <c r="U427" s="31" t="s">
        <v>2253</v>
      </c>
      <c r="V427" s="16" t="s">
        <v>1770</v>
      </c>
      <c r="W427" s="31" t="s">
        <v>1771</v>
      </c>
      <c r="X427" s="31" t="s">
        <v>99</v>
      </c>
      <c r="Y427" s="31">
        <v>77535</v>
      </c>
      <c r="Z427" s="31" t="s">
        <v>1746</v>
      </c>
      <c r="AA427" s="31" t="s">
        <v>1747</v>
      </c>
      <c r="AB427" s="31" t="s">
        <v>1772</v>
      </c>
      <c r="AC427" s="31">
        <v>9982510927</v>
      </c>
      <c r="AD427" s="31">
        <v>9982679999</v>
      </c>
    </row>
    <row r="428" spans="1:30" x14ac:dyDescent="0.2">
      <c r="A428" s="15">
        <v>11471</v>
      </c>
      <c r="B428" s="26">
        <f>VLOOKUP(A428,Hoja1!A:A,1,FALSE)</f>
        <v>11471</v>
      </c>
      <c r="C428" s="13" t="s">
        <v>1871</v>
      </c>
      <c r="D428" s="35" t="s">
        <v>1706</v>
      </c>
      <c r="E428" s="33" t="s">
        <v>18</v>
      </c>
      <c r="F428" s="33" t="s">
        <v>18</v>
      </c>
      <c r="G428" s="34">
        <v>38603</v>
      </c>
      <c r="H428" s="15" t="s">
        <v>49</v>
      </c>
      <c r="I428" s="15" t="s">
        <v>110</v>
      </c>
      <c r="J428" s="15" t="s">
        <v>110</v>
      </c>
      <c r="K428" s="26">
        <v>19300</v>
      </c>
      <c r="L428" s="31" t="s">
        <v>2460</v>
      </c>
      <c r="M428" s="26">
        <v>6286</v>
      </c>
      <c r="N428" s="16" t="s">
        <v>1867</v>
      </c>
      <c r="O428" s="26">
        <v>9841369879</v>
      </c>
      <c r="P428" s="16" t="s">
        <v>2463</v>
      </c>
      <c r="Q428" s="16" t="s">
        <v>395</v>
      </c>
      <c r="R428" s="26" t="s">
        <v>99</v>
      </c>
      <c r="S428" s="31" t="s">
        <v>99</v>
      </c>
      <c r="T428" s="26" t="s">
        <v>19</v>
      </c>
      <c r="U428" s="31" t="s">
        <v>2253</v>
      </c>
      <c r="V428" s="16" t="s">
        <v>1872</v>
      </c>
      <c r="W428" s="31" t="s">
        <v>1873</v>
      </c>
      <c r="X428" s="31" t="s">
        <v>99</v>
      </c>
      <c r="Y428" s="31">
        <v>77539</v>
      </c>
      <c r="Z428" s="31" t="s">
        <v>1746</v>
      </c>
      <c r="AA428" s="31" t="s">
        <v>1747</v>
      </c>
      <c r="AB428" s="31" t="s">
        <v>1874</v>
      </c>
      <c r="AC428" s="31">
        <v>9988926805</v>
      </c>
      <c r="AD428" s="31">
        <v>9988926111</v>
      </c>
    </row>
    <row r="429" spans="1:30" x14ac:dyDescent="0.2">
      <c r="A429" s="15">
        <v>11511</v>
      </c>
      <c r="B429" s="26">
        <f>VLOOKUP(A429,Hoja1!A:A,1,FALSE)</f>
        <v>11511</v>
      </c>
      <c r="C429" s="13" t="s">
        <v>1783</v>
      </c>
      <c r="D429" s="35" t="s">
        <v>1706</v>
      </c>
      <c r="E429" s="33" t="s">
        <v>18</v>
      </c>
      <c r="F429" s="33" t="s">
        <v>18</v>
      </c>
      <c r="G429" s="34">
        <v>39383</v>
      </c>
      <c r="H429" s="15" t="s">
        <v>49</v>
      </c>
      <c r="I429" s="15" t="s">
        <v>110</v>
      </c>
      <c r="J429" s="15" t="s">
        <v>110</v>
      </c>
      <c r="K429" s="26">
        <v>50353</v>
      </c>
      <c r="L429" s="31" t="s">
        <v>1784</v>
      </c>
      <c r="M429" s="26">
        <v>6286</v>
      </c>
      <c r="N429" s="16" t="s">
        <v>1867</v>
      </c>
      <c r="O429" s="26">
        <v>9841369879</v>
      </c>
      <c r="P429" s="16" t="s">
        <v>2463</v>
      </c>
      <c r="Q429" s="16" t="s">
        <v>395</v>
      </c>
      <c r="R429" s="26" t="s">
        <v>99</v>
      </c>
      <c r="S429" s="31" t="s">
        <v>99</v>
      </c>
      <c r="T429" s="26" t="s">
        <v>19</v>
      </c>
      <c r="U429" s="31" t="s">
        <v>2253</v>
      </c>
      <c r="V429" s="16" t="s">
        <v>1785</v>
      </c>
      <c r="W429" s="31" t="s">
        <v>1786</v>
      </c>
      <c r="X429" s="31" t="s">
        <v>99</v>
      </c>
      <c r="Y429" s="31">
        <v>77533</v>
      </c>
      <c r="Z429" s="31" t="s">
        <v>1746</v>
      </c>
      <c r="AA429" s="31" t="s">
        <v>1747</v>
      </c>
      <c r="AB429" s="31" t="s">
        <v>1787</v>
      </c>
      <c r="AC429" s="31">
        <v>9982102618</v>
      </c>
      <c r="AD429" s="31">
        <v>9982102332</v>
      </c>
    </row>
    <row r="430" spans="1:30" x14ac:dyDescent="0.2">
      <c r="A430" s="15">
        <v>11619</v>
      </c>
      <c r="B430" s="26">
        <f>VLOOKUP(A430,Hoja1!A:A,1,FALSE)</f>
        <v>11619</v>
      </c>
      <c r="C430" s="13" t="s">
        <v>1792</v>
      </c>
      <c r="D430" s="35" t="s">
        <v>1706</v>
      </c>
      <c r="E430" s="33" t="s">
        <v>18</v>
      </c>
      <c r="F430" s="33" t="s">
        <v>18</v>
      </c>
      <c r="G430" s="34">
        <v>42780</v>
      </c>
      <c r="H430" s="15" t="s">
        <v>49</v>
      </c>
      <c r="I430" s="15" t="s">
        <v>110</v>
      </c>
      <c r="J430" s="15" t="s">
        <v>110</v>
      </c>
      <c r="K430" s="26">
        <v>92434</v>
      </c>
      <c r="L430" s="31" t="s">
        <v>2123</v>
      </c>
      <c r="M430" s="26">
        <v>6286</v>
      </c>
      <c r="N430" s="16" t="s">
        <v>1867</v>
      </c>
      <c r="O430" s="26">
        <v>9841369879</v>
      </c>
      <c r="P430" s="16" t="s">
        <v>2463</v>
      </c>
      <c r="Q430" s="16" t="s">
        <v>395</v>
      </c>
      <c r="R430" s="26" t="s">
        <v>99</v>
      </c>
      <c r="S430" s="31" t="s">
        <v>99</v>
      </c>
      <c r="T430" s="26" t="s">
        <v>19</v>
      </c>
      <c r="U430" s="31" t="s">
        <v>2253</v>
      </c>
      <c r="V430" s="16" t="s">
        <v>1793</v>
      </c>
      <c r="W430" s="31" t="s">
        <v>1794</v>
      </c>
      <c r="X430" s="31" t="s">
        <v>99</v>
      </c>
      <c r="Y430" s="31">
        <v>77507</v>
      </c>
      <c r="Z430" s="31" t="s">
        <v>1746</v>
      </c>
      <c r="AA430" s="31" t="s">
        <v>1747</v>
      </c>
      <c r="AB430" s="31" t="s">
        <v>1795</v>
      </c>
      <c r="AC430" s="31">
        <v>9988723554</v>
      </c>
      <c r="AD430" s="31">
        <v>9988876060</v>
      </c>
    </row>
    <row r="431" spans="1:30" x14ac:dyDescent="0.2">
      <c r="A431" s="15">
        <v>11647</v>
      </c>
      <c r="B431" s="26">
        <f>VLOOKUP(A431,Hoja1!A:A,1,FALSE)</f>
        <v>11647</v>
      </c>
      <c r="C431" s="13" t="s">
        <v>2092</v>
      </c>
      <c r="D431" s="35" t="s">
        <v>1706</v>
      </c>
      <c r="E431" s="33" t="s">
        <v>18</v>
      </c>
      <c r="F431" s="33" t="s">
        <v>18</v>
      </c>
      <c r="G431" s="34">
        <v>43100</v>
      </c>
      <c r="H431" s="15" t="s">
        <v>49</v>
      </c>
      <c r="I431" s="15" t="s">
        <v>110</v>
      </c>
      <c r="J431" s="15" t="s">
        <v>110</v>
      </c>
      <c r="K431" s="26">
        <v>42557</v>
      </c>
      <c r="L431" s="31" t="s">
        <v>1848</v>
      </c>
      <c r="M431" s="26">
        <v>6286</v>
      </c>
      <c r="N431" s="16" t="s">
        <v>1867</v>
      </c>
      <c r="O431" s="26">
        <v>9841369879</v>
      </c>
      <c r="P431" s="16" t="s">
        <v>2463</v>
      </c>
      <c r="Q431" s="16" t="s">
        <v>395</v>
      </c>
      <c r="R431" s="26" t="s">
        <v>99</v>
      </c>
      <c r="S431" s="31" t="s">
        <v>99</v>
      </c>
      <c r="T431" s="26" t="s">
        <v>19</v>
      </c>
      <c r="U431" s="31" t="s">
        <v>2253</v>
      </c>
      <c r="V431" s="16" t="s">
        <v>1890</v>
      </c>
      <c r="W431" s="31" t="s">
        <v>1891</v>
      </c>
      <c r="X431" s="31" t="s">
        <v>2226</v>
      </c>
      <c r="Y431" s="31">
        <v>77535</v>
      </c>
      <c r="Z431" s="31" t="s">
        <v>1746</v>
      </c>
      <c r="AA431" s="31" t="s">
        <v>1747</v>
      </c>
      <c r="AB431" s="31" t="s">
        <v>1892</v>
      </c>
      <c r="AC431" s="31">
        <v>9986886030</v>
      </c>
      <c r="AD431" s="31">
        <v>9981770075</v>
      </c>
    </row>
    <row r="432" spans="1:30" x14ac:dyDescent="0.2">
      <c r="A432" s="15">
        <v>11770</v>
      </c>
      <c r="B432" s="26">
        <f>VLOOKUP(A432,Hoja1!A:A,1,FALSE)</f>
        <v>11770</v>
      </c>
      <c r="C432" s="13" t="s">
        <v>1893</v>
      </c>
      <c r="D432" s="35" t="s">
        <v>1706</v>
      </c>
      <c r="E432" s="33" t="s">
        <v>18</v>
      </c>
      <c r="F432" s="33" t="s">
        <v>18</v>
      </c>
      <c r="G432" s="34">
        <v>35894</v>
      </c>
      <c r="H432" s="15" t="s">
        <v>49</v>
      </c>
      <c r="I432" s="15" t="s">
        <v>50</v>
      </c>
      <c r="J432" s="15" t="s">
        <v>87</v>
      </c>
      <c r="K432" s="26">
        <v>16318</v>
      </c>
      <c r="L432" s="31" t="s">
        <v>2124</v>
      </c>
      <c r="M432" s="26">
        <v>6286</v>
      </c>
      <c r="N432" s="16" t="s">
        <v>1867</v>
      </c>
      <c r="O432" s="26">
        <v>9841369879</v>
      </c>
      <c r="P432" s="16" t="s">
        <v>2463</v>
      </c>
      <c r="Q432" s="16" t="s">
        <v>395</v>
      </c>
      <c r="R432" s="26" t="s">
        <v>99</v>
      </c>
      <c r="S432" s="31" t="s">
        <v>99</v>
      </c>
      <c r="T432" s="26" t="s">
        <v>19</v>
      </c>
      <c r="U432" s="31" t="s">
        <v>2253</v>
      </c>
      <c r="V432" s="16" t="s">
        <v>1894</v>
      </c>
      <c r="W432" s="31" t="s">
        <v>1895</v>
      </c>
      <c r="X432" s="31" t="s">
        <v>99</v>
      </c>
      <c r="Y432" s="31">
        <v>77513</v>
      </c>
      <c r="Z432" s="31" t="s">
        <v>1746</v>
      </c>
      <c r="AA432" s="31" t="s">
        <v>1747</v>
      </c>
      <c r="AB432" s="31" t="s">
        <v>1896</v>
      </c>
      <c r="AC432" s="31">
        <v>9988870220</v>
      </c>
      <c r="AD432" s="31">
        <v>9988870220</v>
      </c>
    </row>
    <row r="433" spans="1:30" x14ac:dyDescent="0.2">
      <c r="A433" s="15">
        <v>11326</v>
      </c>
      <c r="B433" s="26">
        <f>VLOOKUP(A433,Hoja1!A:A,1,FALSE)</f>
        <v>11326</v>
      </c>
      <c r="C433" s="13" t="s">
        <v>1916</v>
      </c>
      <c r="D433" s="35" t="s">
        <v>1706</v>
      </c>
      <c r="E433" s="33" t="s">
        <v>18</v>
      </c>
      <c r="F433" s="33" t="s">
        <v>18</v>
      </c>
      <c r="G433" s="34">
        <v>37257</v>
      </c>
      <c r="H433" s="15" t="s">
        <v>49</v>
      </c>
      <c r="I433" s="15" t="s">
        <v>110</v>
      </c>
      <c r="J433" s="15" t="s">
        <v>110</v>
      </c>
      <c r="K433" s="26">
        <v>50378</v>
      </c>
      <c r="L433" s="31" t="s">
        <v>1917</v>
      </c>
      <c r="M433" s="15">
        <v>3911</v>
      </c>
      <c r="N433" s="16" t="s">
        <v>1806</v>
      </c>
      <c r="O433" s="15">
        <v>9992331657</v>
      </c>
      <c r="P433" s="29" t="s">
        <v>2207</v>
      </c>
      <c r="Q433" s="16" t="s">
        <v>395</v>
      </c>
      <c r="R433" s="26" t="s">
        <v>99</v>
      </c>
      <c r="S433" s="31" t="s">
        <v>99</v>
      </c>
      <c r="T433" s="26" t="s">
        <v>19</v>
      </c>
      <c r="U433" s="31" t="s">
        <v>2253</v>
      </c>
      <c r="V433" s="16" t="s">
        <v>1918</v>
      </c>
      <c r="W433" s="31" t="s">
        <v>1822</v>
      </c>
      <c r="X433" s="31" t="s">
        <v>99</v>
      </c>
      <c r="Y433" s="31">
        <v>97780</v>
      </c>
      <c r="Z433" s="31" t="s">
        <v>1916</v>
      </c>
      <c r="AA433" s="31" t="s">
        <v>1810</v>
      </c>
      <c r="AB433" s="31" t="s">
        <v>1919</v>
      </c>
      <c r="AC433" s="31">
        <v>9858561609</v>
      </c>
      <c r="AD433" s="31">
        <v>9858561656</v>
      </c>
    </row>
    <row r="434" spans="1:30" x14ac:dyDescent="0.2">
      <c r="A434" s="15">
        <v>11328</v>
      </c>
      <c r="B434" s="26">
        <f>VLOOKUP(A434,Hoja1!A:A,1,FALSE)</f>
        <v>11328</v>
      </c>
      <c r="C434" s="13" t="s">
        <v>1861</v>
      </c>
      <c r="D434" s="35" t="s">
        <v>1706</v>
      </c>
      <c r="E434" s="33" t="s">
        <v>18</v>
      </c>
      <c r="F434" s="33" t="s">
        <v>18</v>
      </c>
      <c r="G434" s="34">
        <v>36754</v>
      </c>
      <c r="H434" s="15" t="s">
        <v>49</v>
      </c>
      <c r="I434" s="15" t="s">
        <v>110</v>
      </c>
      <c r="J434" s="15" t="s">
        <v>110</v>
      </c>
      <c r="K434" s="26">
        <v>87742</v>
      </c>
      <c r="L434" s="31" t="s">
        <v>1862</v>
      </c>
      <c r="M434" s="15">
        <v>3911</v>
      </c>
      <c r="N434" s="16" t="s">
        <v>1806</v>
      </c>
      <c r="O434" s="15">
        <v>9992331657</v>
      </c>
      <c r="P434" s="29" t="s">
        <v>2207</v>
      </c>
      <c r="Q434" s="16" t="s">
        <v>395</v>
      </c>
      <c r="R434" s="26" t="s">
        <v>99</v>
      </c>
      <c r="S434" s="31" t="s">
        <v>99</v>
      </c>
      <c r="T434" s="26" t="s">
        <v>19</v>
      </c>
      <c r="U434" s="31" t="s">
        <v>2253</v>
      </c>
      <c r="V434" s="16" t="s">
        <v>1863</v>
      </c>
      <c r="W434" s="31" t="s">
        <v>1864</v>
      </c>
      <c r="X434" s="31" t="s">
        <v>99</v>
      </c>
      <c r="Y434" s="31">
        <v>77538</v>
      </c>
      <c r="Z434" s="31" t="s">
        <v>1746</v>
      </c>
      <c r="AA434" s="31" t="s">
        <v>1747</v>
      </c>
      <c r="AB434" s="31" t="s">
        <v>1865</v>
      </c>
      <c r="AC434" s="31">
        <v>9988937662</v>
      </c>
      <c r="AD434" s="31">
        <v>9988936767</v>
      </c>
    </row>
    <row r="435" spans="1:30" x14ac:dyDescent="0.2">
      <c r="A435" s="15">
        <v>11432</v>
      </c>
      <c r="B435" s="26">
        <f>VLOOKUP(A435,Hoja1!A:A,1,FALSE)</f>
        <v>11432</v>
      </c>
      <c r="C435" s="13" t="s">
        <v>1763</v>
      </c>
      <c r="D435" s="35" t="s">
        <v>1706</v>
      </c>
      <c r="E435" s="33" t="s">
        <v>18</v>
      </c>
      <c r="F435" s="33" t="s">
        <v>18</v>
      </c>
      <c r="G435" s="34">
        <v>37960</v>
      </c>
      <c r="H435" s="15" t="s">
        <v>49</v>
      </c>
      <c r="I435" s="15" t="s">
        <v>110</v>
      </c>
      <c r="J435" s="15" t="s">
        <v>110</v>
      </c>
      <c r="K435" s="26">
        <v>15564</v>
      </c>
      <c r="L435" s="31" t="s">
        <v>1764</v>
      </c>
      <c r="M435" s="15">
        <v>3911</v>
      </c>
      <c r="N435" s="16" t="s">
        <v>1806</v>
      </c>
      <c r="O435" s="15">
        <v>9992331657</v>
      </c>
      <c r="P435" s="29" t="s">
        <v>2207</v>
      </c>
      <c r="Q435" s="16" t="s">
        <v>395</v>
      </c>
      <c r="R435" s="26" t="s">
        <v>99</v>
      </c>
      <c r="S435" s="31" t="s">
        <v>99</v>
      </c>
      <c r="T435" s="26" t="s">
        <v>19</v>
      </c>
      <c r="U435" s="31" t="s">
        <v>2253</v>
      </c>
      <c r="V435" s="16" t="s">
        <v>1765</v>
      </c>
      <c r="W435" s="31" t="s">
        <v>1766</v>
      </c>
      <c r="X435" s="31" t="s">
        <v>99</v>
      </c>
      <c r="Y435" s="31">
        <v>77507</v>
      </c>
      <c r="Z435" s="31" t="s">
        <v>1746</v>
      </c>
      <c r="AA435" s="31" t="s">
        <v>1747</v>
      </c>
      <c r="AB435" s="31" t="s">
        <v>1767</v>
      </c>
      <c r="AC435" s="31">
        <v>9988821995</v>
      </c>
      <c r="AD435" s="31">
        <v>9988820083</v>
      </c>
    </row>
    <row r="436" spans="1:30" x14ac:dyDescent="0.2">
      <c r="A436" s="15">
        <v>11455</v>
      </c>
      <c r="B436" s="26">
        <f>VLOOKUP(A436,Hoja1!A:A,1,FALSE)</f>
        <v>11455</v>
      </c>
      <c r="C436" s="13" t="s">
        <v>1866</v>
      </c>
      <c r="D436" s="35" t="s">
        <v>1706</v>
      </c>
      <c r="E436" s="33" t="s">
        <v>18</v>
      </c>
      <c r="F436" s="33" t="s">
        <v>18</v>
      </c>
      <c r="G436" s="34">
        <v>38327</v>
      </c>
      <c r="H436" s="15" t="s">
        <v>49</v>
      </c>
      <c r="I436" s="15" t="s">
        <v>110</v>
      </c>
      <c r="J436" s="15" t="s">
        <v>110</v>
      </c>
      <c r="K436" s="26">
        <v>15797</v>
      </c>
      <c r="L436" s="31" t="s">
        <v>1743</v>
      </c>
      <c r="M436" s="15">
        <v>3911</v>
      </c>
      <c r="N436" s="16" t="s">
        <v>1806</v>
      </c>
      <c r="O436" s="15">
        <v>9992331657</v>
      </c>
      <c r="P436" s="29" t="s">
        <v>2207</v>
      </c>
      <c r="Q436" s="16" t="s">
        <v>395</v>
      </c>
      <c r="R436" s="26" t="s">
        <v>99</v>
      </c>
      <c r="S436" s="31" t="s">
        <v>99</v>
      </c>
      <c r="T436" s="26" t="s">
        <v>19</v>
      </c>
      <c r="U436" s="31" t="s">
        <v>2253</v>
      </c>
      <c r="V436" s="16" t="s">
        <v>1868</v>
      </c>
      <c r="W436" s="31" t="s">
        <v>1869</v>
      </c>
      <c r="X436" s="31" t="s">
        <v>99</v>
      </c>
      <c r="Y436" s="31">
        <v>77517</v>
      </c>
      <c r="Z436" s="31" t="s">
        <v>1746</v>
      </c>
      <c r="AA436" s="31" t="s">
        <v>1747</v>
      </c>
      <c r="AB436" s="31" t="s">
        <v>1870</v>
      </c>
      <c r="AC436" s="31">
        <v>9988694149</v>
      </c>
      <c r="AD436" s="31">
        <v>9988694242</v>
      </c>
    </row>
    <row r="437" spans="1:30" x14ac:dyDescent="0.2">
      <c r="A437" s="15">
        <v>11518</v>
      </c>
      <c r="B437" s="26">
        <f>VLOOKUP(A437,Hoja1!A:A,1,FALSE)</f>
        <v>11518</v>
      </c>
      <c r="C437" s="13" t="s">
        <v>1875</v>
      </c>
      <c r="D437" s="35" t="s">
        <v>1706</v>
      </c>
      <c r="E437" s="33" t="s">
        <v>18</v>
      </c>
      <c r="F437" s="33" t="s">
        <v>18</v>
      </c>
      <c r="G437" s="34">
        <v>39510</v>
      </c>
      <c r="H437" s="15" t="s">
        <v>49</v>
      </c>
      <c r="I437" s="15" t="s">
        <v>110</v>
      </c>
      <c r="J437" s="15" t="s">
        <v>110</v>
      </c>
      <c r="K437" s="26">
        <v>88485</v>
      </c>
      <c r="L437" s="31" t="s">
        <v>1876</v>
      </c>
      <c r="M437" s="15">
        <v>3911</v>
      </c>
      <c r="N437" s="16" t="s">
        <v>1806</v>
      </c>
      <c r="O437" s="15">
        <v>9992331657</v>
      </c>
      <c r="P437" s="29" t="s">
        <v>2207</v>
      </c>
      <c r="Q437" s="16" t="s">
        <v>395</v>
      </c>
      <c r="R437" s="26" t="s">
        <v>99</v>
      </c>
      <c r="S437" s="31" t="s">
        <v>99</v>
      </c>
      <c r="T437" s="26" t="s">
        <v>19</v>
      </c>
      <c r="U437" s="31" t="s">
        <v>2253</v>
      </c>
      <c r="V437" s="16" t="s">
        <v>1877</v>
      </c>
      <c r="W437" s="31" t="s">
        <v>1878</v>
      </c>
      <c r="X437" s="31" t="s">
        <v>99</v>
      </c>
      <c r="Y437" s="31">
        <v>77539</v>
      </c>
      <c r="Z437" s="31" t="s">
        <v>1746</v>
      </c>
      <c r="AA437" s="31" t="s">
        <v>1747</v>
      </c>
      <c r="AB437" s="31" t="s">
        <v>1879</v>
      </c>
      <c r="AC437" s="31">
        <v>9982093246</v>
      </c>
      <c r="AD437" s="31">
        <v>9982093282</v>
      </c>
    </row>
    <row r="438" spans="1:30" x14ac:dyDescent="0.2">
      <c r="A438" s="15">
        <v>11603</v>
      </c>
      <c r="B438" s="26">
        <f>VLOOKUP(A438,Hoja1!A:A,1,FALSE)</f>
        <v>11603</v>
      </c>
      <c r="C438" s="13" t="s">
        <v>1880</v>
      </c>
      <c r="D438" s="35" t="s">
        <v>1706</v>
      </c>
      <c r="E438" s="33" t="s">
        <v>18</v>
      </c>
      <c r="F438" s="33" t="s">
        <v>18</v>
      </c>
      <c r="G438" s="34">
        <v>42780</v>
      </c>
      <c r="H438" s="15" t="s">
        <v>49</v>
      </c>
      <c r="I438" s="15" t="s">
        <v>110</v>
      </c>
      <c r="J438" s="15" t="s">
        <v>110</v>
      </c>
      <c r="K438" s="26">
        <v>15382</v>
      </c>
      <c r="L438" s="31" t="s">
        <v>1881</v>
      </c>
      <c r="M438" s="15">
        <v>3911</v>
      </c>
      <c r="N438" s="16" t="s">
        <v>1806</v>
      </c>
      <c r="O438" s="15">
        <v>9992331657</v>
      </c>
      <c r="P438" s="29" t="s">
        <v>2207</v>
      </c>
      <c r="Q438" s="16" t="s">
        <v>395</v>
      </c>
      <c r="R438" s="26" t="s">
        <v>99</v>
      </c>
      <c r="S438" s="31" t="s">
        <v>99</v>
      </c>
      <c r="T438" s="26" t="s">
        <v>19</v>
      </c>
      <c r="U438" s="31" t="s">
        <v>2253</v>
      </c>
      <c r="V438" s="16" t="s">
        <v>1882</v>
      </c>
      <c r="W438" s="31" t="s">
        <v>1883</v>
      </c>
      <c r="X438" s="31" t="s">
        <v>99</v>
      </c>
      <c r="Y438" s="31">
        <v>77535</v>
      </c>
      <c r="Z438" s="31" t="s">
        <v>1746</v>
      </c>
      <c r="AA438" s="31" t="s">
        <v>1747</v>
      </c>
      <c r="AB438" s="31" t="s">
        <v>1884</v>
      </c>
      <c r="AC438" s="31">
        <v>9981267920</v>
      </c>
      <c r="AD438" s="31">
        <v>9988981414</v>
      </c>
    </row>
    <row r="439" spans="1:30" x14ac:dyDescent="0.2">
      <c r="A439" s="15">
        <v>11618</v>
      </c>
      <c r="B439" s="26">
        <f>VLOOKUP(A439,Hoja1!A:A,1,FALSE)</f>
        <v>11618</v>
      </c>
      <c r="C439" s="13" t="s">
        <v>1933</v>
      </c>
      <c r="D439" s="35" t="s">
        <v>1706</v>
      </c>
      <c r="E439" s="33" t="s">
        <v>18</v>
      </c>
      <c r="F439" s="33" t="s">
        <v>18</v>
      </c>
      <c r="G439" s="34">
        <v>42783</v>
      </c>
      <c r="H439" s="15" t="s">
        <v>49</v>
      </c>
      <c r="I439" s="15" t="s">
        <v>110</v>
      </c>
      <c r="J439" s="15" t="s">
        <v>110</v>
      </c>
      <c r="K439" s="26">
        <v>51779</v>
      </c>
      <c r="L439" s="31" t="s">
        <v>1907</v>
      </c>
      <c r="M439" s="15">
        <v>3911</v>
      </c>
      <c r="N439" s="16" t="s">
        <v>1806</v>
      </c>
      <c r="O439" s="15">
        <v>9992331657</v>
      </c>
      <c r="P439" s="29" t="s">
        <v>2207</v>
      </c>
      <c r="Q439" s="16" t="s">
        <v>395</v>
      </c>
      <c r="R439" s="26" t="s">
        <v>99</v>
      </c>
      <c r="S439" s="31" t="s">
        <v>99</v>
      </c>
      <c r="T439" s="26" t="s">
        <v>19</v>
      </c>
      <c r="U439" s="31" t="s">
        <v>2253</v>
      </c>
      <c r="V439" s="16" t="s">
        <v>1934</v>
      </c>
      <c r="W439" s="31" t="s">
        <v>1935</v>
      </c>
      <c r="X439" s="31" t="s">
        <v>99</v>
      </c>
      <c r="Y439" s="31">
        <v>97314</v>
      </c>
      <c r="Z439" s="31" t="s">
        <v>1809</v>
      </c>
      <c r="AA439" s="31" t="s">
        <v>1810</v>
      </c>
      <c r="AB439" s="31" t="s">
        <v>1936</v>
      </c>
      <c r="AC439" s="31">
        <v>9994810412</v>
      </c>
      <c r="AD439" s="31">
        <v>9994810412</v>
      </c>
    </row>
    <row r="440" spans="1:30" x14ac:dyDescent="0.2">
      <c r="A440" s="15">
        <v>11645</v>
      </c>
      <c r="B440" s="26">
        <f>VLOOKUP(A440,Hoja1!A:A,1,FALSE)</f>
        <v>11645</v>
      </c>
      <c r="C440" s="13" t="s">
        <v>1885</v>
      </c>
      <c r="D440" s="35" t="s">
        <v>1706</v>
      </c>
      <c r="E440" s="33" t="s">
        <v>18</v>
      </c>
      <c r="F440" s="33" t="s">
        <v>18</v>
      </c>
      <c r="G440" s="34">
        <v>43099</v>
      </c>
      <c r="H440" s="15" t="s">
        <v>49</v>
      </c>
      <c r="I440" s="15" t="s">
        <v>110</v>
      </c>
      <c r="J440" s="15" t="s">
        <v>110</v>
      </c>
      <c r="K440" s="26">
        <v>54475</v>
      </c>
      <c r="L440" s="31" t="s">
        <v>1886</v>
      </c>
      <c r="M440" s="15">
        <v>3911</v>
      </c>
      <c r="N440" s="16" t="s">
        <v>1806</v>
      </c>
      <c r="O440" s="15">
        <v>9992331657</v>
      </c>
      <c r="P440" s="29" t="s">
        <v>2207</v>
      </c>
      <c r="Q440" s="16" t="s">
        <v>395</v>
      </c>
      <c r="R440" s="26" t="s">
        <v>99</v>
      </c>
      <c r="S440" s="31" t="s">
        <v>99</v>
      </c>
      <c r="T440" s="26" t="s">
        <v>19</v>
      </c>
      <c r="U440" s="31" t="s">
        <v>2253</v>
      </c>
      <c r="V440" s="16" t="s">
        <v>1887</v>
      </c>
      <c r="W440" s="31" t="s">
        <v>1888</v>
      </c>
      <c r="X440" s="31" t="s">
        <v>2226</v>
      </c>
      <c r="Y440" s="31">
        <v>77535</v>
      </c>
      <c r="Z440" s="31" t="s">
        <v>1746</v>
      </c>
      <c r="AA440" s="31" t="s">
        <v>1747</v>
      </c>
      <c r="AB440" s="31" t="s">
        <v>1889</v>
      </c>
      <c r="AC440" s="31">
        <v>9982174644</v>
      </c>
      <c r="AD440" s="31">
        <v>9982174644</v>
      </c>
    </row>
    <row r="441" spans="1:30" x14ac:dyDescent="0.2">
      <c r="A441" s="15">
        <v>12338</v>
      </c>
      <c r="B441" s="26">
        <f>VLOOKUP(A441,Hoja1!A:A,1,FALSE)</f>
        <v>12338</v>
      </c>
      <c r="C441" s="13" t="s">
        <v>140</v>
      </c>
      <c r="D441" s="35" t="s">
        <v>1706</v>
      </c>
      <c r="E441" s="33" t="s">
        <v>18</v>
      </c>
      <c r="F441" s="33" t="s">
        <v>18</v>
      </c>
      <c r="G441" s="34">
        <v>43420</v>
      </c>
      <c r="H441" s="15" t="s">
        <v>49</v>
      </c>
      <c r="I441" s="15" t="s">
        <v>110</v>
      </c>
      <c r="J441" s="15" t="s">
        <v>110</v>
      </c>
      <c r="K441" s="26">
        <v>51750</v>
      </c>
      <c r="L441" s="31" t="s">
        <v>1937</v>
      </c>
      <c r="M441" s="15">
        <v>3911</v>
      </c>
      <c r="N441" s="16" t="s">
        <v>1806</v>
      </c>
      <c r="O441" s="15">
        <v>9992331657</v>
      </c>
      <c r="P441" s="29" t="s">
        <v>2207</v>
      </c>
      <c r="Q441" s="16" t="s">
        <v>395</v>
      </c>
      <c r="R441" s="26" t="s">
        <v>99</v>
      </c>
      <c r="S441" s="31" t="s">
        <v>99</v>
      </c>
      <c r="T441" s="26" t="s">
        <v>19</v>
      </c>
      <c r="U441" s="31" t="s">
        <v>2253</v>
      </c>
      <c r="V441" s="16" t="s">
        <v>1938</v>
      </c>
      <c r="W441" s="31" t="s">
        <v>140</v>
      </c>
      <c r="X441" s="31" t="s">
        <v>99</v>
      </c>
      <c r="Y441" s="31">
        <v>97302</v>
      </c>
      <c r="Z441" s="31" t="s">
        <v>1809</v>
      </c>
      <c r="AA441" s="31" t="s">
        <v>1810</v>
      </c>
      <c r="AB441" s="31" t="s">
        <v>1939</v>
      </c>
      <c r="AC441" s="31">
        <v>9994540010</v>
      </c>
      <c r="AD441" s="31">
        <v>9994540010</v>
      </c>
    </row>
    <row r="442" spans="1:30" x14ac:dyDescent="0.2">
      <c r="A442" s="15">
        <v>12351</v>
      </c>
      <c r="B442" s="26">
        <f>VLOOKUP(A442,Hoja1!A:A,1,FALSE)</f>
        <v>12351</v>
      </c>
      <c r="C442" s="13" t="s">
        <v>1940</v>
      </c>
      <c r="D442" s="35" t="s">
        <v>1706</v>
      </c>
      <c r="E442" s="33" t="s">
        <v>18</v>
      </c>
      <c r="F442" s="33" t="s">
        <v>18</v>
      </c>
      <c r="G442" s="34">
        <v>43455</v>
      </c>
      <c r="H442" s="15" t="s">
        <v>49</v>
      </c>
      <c r="I442" s="15" t="s">
        <v>110</v>
      </c>
      <c r="J442" s="15" t="s">
        <v>110</v>
      </c>
      <c r="K442" s="26">
        <v>52612</v>
      </c>
      <c r="L442" s="31" t="s">
        <v>1941</v>
      </c>
      <c r="M442" s="15">
        <v>3911</v>
      </c>
      <c r="N442" s="16" t="s">
        <v>1806</v>
      </c>
      <c r="O442" s="15">
        <v>9992331657</v>
      </c>
      <c r="P442" s="29" t="s">
        <v>2207</v>
      </c>
      <c r="Q442" s="16" t="s">
        <v>395</v>
      </c>
      <c r="R442" s="26" t="s">
        <v>99</v>
      </c>
      <c r="S442" s="31" t="s">
        <v>99</v>
      </c>
      <c r="T442" s="26" t="s">
        <v>19</v>
      </c>
      <c r="U442" s="31" t="s">
        <v>2253</v>
      </c>
      <c r="V442" s="16" t="s">
        <v>1942</v>
      </c>
      <c r="W442" s="31" t="s">
        <v>1943</v>
      </c>
      <c r="X442" s="31" t="s">
        <v>99</v>
      </c>
      <c r="Y442" s="31">
        <v>97138</v>
      </c>
      <c r="Z442" s="31" t="s">
        <v>1809</v>
      </c>
      <c r="AA442" s="31" t="s">
        <v>1810</v>
      </c>
      <c r="AB442" s="31" t="s">
        <v>1944</v>
      </c>
      <c r="AC442" s="31">
        <v>9994540012</v>
      </c>
      <c r="AD442" s="31">
        <v>9994540012</v>
      </c>
    </row>
    <row r="443" spans="1:30" x14ac:dyDescent="0.2">
      <c r="A443" s="15">
        <v>12353</v>
      </c>
      <c r="B443" s="26">
        <f>VLOOKUP(A443,Hoja1!A:A,1,FALSE)</f>
        <v>12353</v>
      </c>
      <c r="C443" s="13" t="s">
        <v>1902</v>
      </c>
      <c r="D443" s="35" t="s">
        <v>1706</v>
      </c>
      <c r="E443" s="33" t="s">
        <v>18</v>
      </c>
      <c r="F443" s="33" t="s">
        <v>18</v>
      </c>
      <c r="G443" s="34">
        <v>43553</v>
      </c>
      <c r="H443" s="15" t="s">
        <v>49</v>
      </c>
      <c r="I443" s="15" t="s">
        <v>110</v>
      </c>
      <c r="J443" s="15" t="s">
        <v>110</v>
      </c>
      <c r="K443" s="26">
        <v>47848</v>
      </c>
      <c r="L443" s="31" t="s">
        <v>2149</v>
      </c>
      <c r="M443" s="15">
        <v>3911</v>
      </c>
      <c r="N443" s="16" t="s">
        <v>1806</v>
      </c>
      <c r="O443" s="15">
        <v>9992331657</v>
      </c>
      <c r="P443" s="29" t="s">
        <v>2207</v>
      </c>
      <c r="Q443" s="16" t="s">
        <v>395</v>
      </c>
      <c r="R443" s="26" t="s">
        <v>99</v>
      </c>
      <c r="S443" s="31" t="s">
        <v>99</v>
      </c>
      <c r="T443" s="26" t="s">
        <v>19</v>
      </c>
      <c r="U443" s="31" t="s">
        <v>2253</v>
      </c>
      <c r="V443" s="16" t="s">
        <v>2158</v>
      </c>
      <c r="W443" s="31" t="s">
        <v>1904</v>
      </c>
      <c r="X443" s="31" t="s">
        <v>99</v>
      </c>
      <c r="Y443" s="31">
        <v>77500</v>
      </c>
      <c r="Z443" s="31" t="s">
        <v>1746</v>
      </c>
      <c r="AA443" s="31" t="s">
        <v>1747</v>
      </c>
      <c r="AB443" s="31" t="s">
        <v>1905</v>
      </c>
      <c r="AC443" s="31">
        <v>9982960155</v>
      </c>
      <c r="AD443" s="31">
        <v>9982960155</v>
      </c>
    </row>
    <row r="444" spans="1:30" x14ac:dyDescent="0.2">
      <c r="A444" s="15">
        <v>11002</v>
      </c>
      <c r="B444" s="26">
        <f>VLOOKUP(A444,Hoja1!A:A,1,FALSE)</f>
        <v>11002</v>
      </c>
      <c r="C444" s="13" t="s">
        <v>1742</v>
      </c>
      <c r="D444" s="35" t="s">
        <v>1706</v>
      </c>
      <c r="E444" s="33" t="s">
        <v>18</v>
      </c>
      <c r="F444" s="33" t="s">
        <v>18</v>
      </c>
      <c r="G444" s="34">
        <v>32901</v>
      </c>
      <c r="H444" s="15" t="s">
        <v>49</v>
      </c>
      <c r="I444" s="15" t="s">
        <v>110</v>
      </c>
      <c r="J444" s="15" t="s">
        <v>110</v>
      </c>
      <c r="K444" s="26">
        <v>91800</v>
      </c>
      <c r="L444" s="31" t="s">
        <v>2462</v>
      </c>
      <c r="M444" s="15">
        <v>2286</v>
      </c>
      <c r="N444" s="16" t="s">
        <v>1849</v>
      </c>
      <c r="O444" s="15">
        <v>9982273235</v>
      </c>
      <c r="P444" s="29" t="s">
        <v>2208</v>
      </c>
      <c r="Q444" s="16" t="s">
        <v>395</v>
      </c>
      <c r="R444" s="26" t="s">
        <v>99</v>
      </c>
      <c r="S444" s="31" t="s">
        <v>99</v>
      </c>
      <c r="T444" s="26" t="s">
        <v>19</v>
      </c>
      <c r="U444" s="31" t="s">
        <v>2253</v>
      </c>
      <c r="V444" s="16" t="s">
        <v>1744</v>
      </c>
      <c r="W444" s="31" t="s">
        <v>1745</v>
      </c>
      <c r="X444" s="31" t="s">
        <v>99</v>
      </c>
      <c r="Y444" s="31">
        <v>77500</v>
      </c>
      <c r="Z444" s="31" t="s">
        <v>1746</v>
      </c>
      <c r="AA444" s="31" t="s">
        <v>1747</v>
      </c>
      <c r="AB444" s="31" t="s">
        <v>1748</v>
      </c>
      <c r="AC444" s="31">
        <v>9988876880</v>
      </c>
      <c r="AD444" s="31">
        <v>9988847512</v>
      </c>
    </row>
    <row r="445" spans="1:30" x14ac:dyDescent="0.2">
      <c r="A445" s="15">
        <v>11006</v>
      </c>
      <c r="B445" s="26">
        <f>VLOOKUP(A445,Hoja1!A:A,1,FALSE)</f>
        <v>11006</v>
      </c>
      <c r="C445" s="13" t="s">
        <v>1847</v>
      </c>
      <c r="D445" s="35" t="s">
        <v>1706</v>
      </c>
      <c r="E445" s="33" t="s">
        <v>18</v>
      </c>
      <c r="F445" s="33" t="s">
        <v>18</v>
      </c>
      <c r="G445" s="34">
        <v>33076</v>
      </c>
      <c r="H445" s="15" t="s">
        <v>49</v>
      </c>
      <c r="I445" s="15" t="s">
        <v>110</v>
      </c>
      <c r="J445" s="15" t="s">
        <v>110</v>
      </c>
      <c r="K445" s="26">
        <v>47850</v>
      </c>
      <c r="L445" s="31" t="s">
        <v>2459</v>
      </c>
      <c r="M445" s="15">
        <v>2286</v>
      </c>
      <c r="N445" s="16" t="s">
        <v>1849</v>
      </c>
      <c r="O445" s="15">
        <v>9982273235</v>
      </c>
      <c r="P445" s="29" t="s">
        <v>2208</v>
      </c>
      <c r="Q445" s="16" t="s">
        <v>395</v>
      </c>
      <c r="R445" s="26" t="s">
        <v>99</v>
      </c>
      <c r="S445" s="31" t="s">
        <v>99</v>
      </c>
      <c r="T445" s="26" t="s">
        <v>19</v>
      </c>
      <c r="U445" s="31" t="s">
        <v>2253</v>
      </c>
      <c r="V445" s="16" t="s">
        <v>1850</v>
      </c>
      <c r="W445" s="31" t="s">
        <v>1851</v>
      </c>
      <c r="X445" s="31" t="s">
        <v>99</v>
      </c>
      <c r="Y445" s="31">
        <v>77500</v>
      </c>
      <c r="Z445" s="31" t="s">
        <v>1746</v>
      </c>
      <c r="AA445" s="31" t="s">
        <v>1747</v>
      </c>
      <c r="AB445" s="31" t="s">
        <v>1852</v>
      </c>
      <c r="AC445" s="31">
        <v>9988831358</v>
      </c>
      <c r="AD445" s="31">
        <v>9988833666</v>
      </c>
    </row>
    <row r="446" spans="1:30" x14ac:dyDescent="0.2">
      <c r="A446" s="15">
        <v>11069</v>
      </c>
      <c r="B446" s="26">
        <f>VLOOKUP(A446,Hoja1!A:A,1,FALSE)</f>
        <v>11069</v>
      </c>
      <c r="C446" s="13" t="s">
        <v>1853</v>
      </c>
      <c r="D446" s="35" t="s">
        <v>1706</v>
      </c>
      <c r="E446" s="33" t="s">
        <v>18</v>
      </c>
      <c r="F446" s="33" t="s">
        <v>18</v>
      </c>
      <c r="G446" s="34">
        <v>33775</v>
      </c>
      <c r="H446" s="15" t="s">
        <v>49</v>
      </c>
      <c r="I446" s="15" t="s">
        <v>110</v>
      </c>
      <c r="J446" s="15" t="s">
        <v>110</v>
      </c>
      <c r="K446" s="26">
        <v>54623</v>
      </c>
      <c r="L446" s="31" t="s">
        <v>1903</v>
      </c>
      <c r="M446" s="15">
        <v>2286</v>
      </c>
      <c r="N446" s="16" t="s">
        <v>1849</v>
      </c>
      <c r="O446" s="15">
        <v>9982273235</v>
      </c>
      <c r="P446" s="29" t="s">
        <v>2208</v>
      </c>
      <c r="Q446" s="16" t="s">
        <v>395</v>
      </c>
      <c r="R446" s="26" t="s">
        <v>99</v>
      </c>
      <c r="S446" s="31" t="s">
        <v>99</v>
      </c>
      <c r="T446" s="26" t="s">
        <v>19</v>
      </c>
      <c r="U446" s="31" t="s">
        <v>2253</v>
      </c>
      <c r="V446" s="16" t="s">
        <v>1854</v>
      </c>
      <c r="W446" s="31" t="s">
        <v>1851</v>
      </c>
      <c r="X446" s="31" t="s">
        <v>99</v>
      </c>
      <c r="Y446" s="31">
        <v>77500</v>
      </c>
      <c r="Z446" s="31" t="s">
        <v>1746</v>
      </c>
      <c r="AA446" s="31" t="s">
        <v>1747</v>
      </c>
      <c r="AB446" s="31" t="s">
        <v>1855</v>
      </c>
      <c r="AC446" s="31">
        <v>9986885551</v>
      </c>
      <c r="AD446" s="31">
        <v>9988833040</v>
      </c>
    </row>
    <row r="447" spans="1:30" x14ac:dyDescent="0.2">
      <c r="A447" s="15">
        <v>11221</v>
      </c>
      <c r="B447" s="26">
        <f>VLOOKUP(A447,Hoja1!A:A,1,FALSE)</f>
        <v>11221</v>
      </c>
      <c r="C447" s="13" t="s">
        <v>1754</v>
      </c>
      <c r="D447" s="35" t="s">
        <v>1706</v>
      </c>
      <c r="E447" s="33" t="s">
        <v>18</v>
      </c>
      <c r="F447" s="33" t="s">
        <v>18</v>
      </c>
      <c r="G447" s="34">
        <v>36087</v>
      </c>
      <c r="H447" s="15" t="s">
        <v>49</v>
      </c>
      <c r="I447" s="15" t="s">
        <v>110</v>
      </c>
      <c r="J447" s="15" t="s">
        <v>110</v>
      </c>
      <c r="K447" s="26">
        <v>24212</v>
      </c>
      <c r="L447" s="31" t="s">
        <v>1755</v>
      </c>
      <c r="M447" s="15">
        <v>2286</v>
      </c>
      <c r="N447" s="16" t="s">
        <v>1849</v>
      </c>
      <c r="O447" s="15">
        <v>9982273235</v>
      </c>
      <c r="P447" s="29" t="s">
        <v>2208</v>
      </c>
      <c r="Q447" s="16" t="s">
        <v>395</v>
      </c>
      <c r="R447" s="26" t="s">
        <v>99</v>
      </c>
      <c r="S447" s="31" t="s">
        <v>99</v>
      </c>
      <c r="T447" s="26" t="s">
        <v>19</v>
      </c>
      <c r="U447" s="31" t="s">
        <v>2253</v>
      </c>
      <c r="V447" s="16" t="s">
        <v>1756</v>
      </c>
      <c r="W447" s="31" t="s">
        <v>89</v>
      </c>
      <c r="X447" s="31" t="s">
        <v>99</v>
      </c>
      <c r="Y447" s="31">
        <v>77710</v>
      </c>
      <c r="Z447" s="31" t="s">
        <v>1754</v>
      </c>
      <c r="AA447" s="31" t="s">
        <v>1747</v>
      </c>
      <c r="AB447" s="31" t="s">
        <v>1757</v>
      </c>
      <c r="AC447" s="31">
        <v>9848731616</v>
      </c>
      <c r="AD447" s="31">
        <v>9848731616</v>
      </c>
    </row>
    <row r="448" spans="1:30" x14ac:dyDescent="0.2">
      <c r="A448" s="15">
        <v>11247</v>
      </c>
      <c r="B448" s="26">
        <f>VLOOKUP(A448,Hoja1!A:A,1,FALSE)</f>
        <v>11247</v>
      </c>
      <c r="C448" s="13" t="s">
        <v>1758</v>
      </c>
      <c r="D448" s="35" t="s">
        <v>1706</v>
      </c>
      <c r="E448" s="33" t="s">
        <v>18</v>
      </c>
      <c r="F448" s="33" t="s">
        <v>18</v>
      </c>
      <c r="G448" s="34">
        <v>36496</v>
      </c>
      <c r="H448" s="15" t="s">
        <v>49</v>
      </c>
      <c r="I448" s="15" t="s">
        <v>110</v>
      </c>
      <c r="J448" s="15" t="s">
        <v>110</v>
      </c>
      <c r="K448" s="26">
        <v>16183</v>
      </c>
      <c r="L448" s="31" t="s">
        <v>2141</v>
      </c>
      <c r="M448" s="15">
        <v>2286</v>
      </c>
      <c r="N448" s="16" t="s">
        <v>1849</v>
      </c>
      <c r="O448" s="15">
        <v>9982273235</v>
      </c>
      <c r="P448" s="29" t="s">
        <v>2208</v>
      </c>
      <c r="Q448" s="16" t="s">
        <v>395</v>
      </c>
      <c r="R448" s="26" t="s">
        <v>99</v>
      </c>
      <c r="S448" s="31" t="s">
        <v>99</v>
      </c>
      <c r="T448" s="26" t="s">
        <v>19</v>
      </c>
      <c r="U448" s="31" t="s">
        <v>2253</v>
      </c>
      <c r="V448" s="16" t="s">
        <v>1760</v>
      </c>
      <c r="W448" s="31" t="s">
        <v>1761</v>
      </c>
      <c r="X448" s="31" t="s">
        <v>99</v>
      </c>
      <c r="Y448" s="31">
        <v>77600</v>
      </c>
      <c r="Z448" s="31" t="s">
        <v>1758</v>
      </c>
      <c r="AA448" s="31" t="s">
        <v>1747</v>
      </c>
      <c r="AB448" s="31" t="s">
        <v>1762</v>
      </c>
      <c r="AC448" s="31">
        <v>9878725117</v>
      </c>
      <c r="AD448" s="31">
        <v>9878721635</v>
      </c>
    </row>
    <row r="449" spans="1:30" x14ac:dyDescent="0.2">
      <c r="A449" s="15">
        <v>11473</v>
      </c>
      <c r="B449" s="26">
        <f>VLOOKUP(A449,Hoja1!A:A,1,FALSE)</f>
        <v>11473</v>
      </c>
      <c r="C449" s="13" t="s">
        <v>1773</v>
      </c>
      <c r="D449" s="35" t="s">
        <v>1706</v>
      </c>
      <c r="E449" s="33" t="s">
        <v>18</v>
      </c>
      <c r="F449" s="33" t="s">
        <v>18</v>
      </c>
      <c r="G449" s="34">
        <v>38806</v>
      </c>
      <c r="H449" s="15" t="s">
        <v>49</v>
      </c>
      <c r="I449" s="15" t="s">
        <v>110</v>
      </c>
      <c r="J449" s="15" t="s">
        <v>110</v>
      </c>
      <c r="K449" s="26">
        <v>16190</v>
      </c>
      <c r="L449" s="31" t="s">
        <v>1774</v>
      </c>
      <c r="M449" s="15">
        <v>2286</v>
      </c>
      <c r="N449" s="16" t="s">
        <v>1849</v>
      </c>
      <c r="O449" s="15">
        <v>9982273235</v>
      </c>
      <c r="P449" s="29" t="s">
        <v>2208</v>
      </c>
      <c r="Q449" s="16" t="s">
        <v>395</v>
      </c>
      <c r="R449" s="26" t="s">
        <v>99</v>
      </c>
      <c r="S449" s="31" t="s">
        <v>99</v>
      </c>
      <c r="T449" s="26" t="s">
        <v>19</v>
      </c>
      <c r="U449" s="31" t="s">
        <v>2253</v>
      </c>
      <c r="V449" s="16" t="s">
        <v>1775</v>
      </c>
      <c r="W449" s="31" t="s">
        <v>1754</v>
      </c>
      <c r="X449" s="31" t="s">
        <v>99</v>
      </c>
      <c r="Y449" s="31">
        <v>77710</v>
      </c>
      <c r="Z449" s="31" t="s">
        <v>1754</v>
      </c>
      <c r="AA449" s="31" t="s">
        <v>1747</v>
      </c>
      <c r="AB449" s="31" t="s">
        <v>1776</v>
      </c>
      <c r="AC449" s="31">
        <v>9841092252</v>
      </c>
      <c r="AD449" s="31">
        <v>9841092252</v>
      </c>
    </row>
    <row r="450" spans="1:30" x14ac:dyDescent="0.2">
      <c r="A450" s="15">
        <v>11482</v>
      </c>
      <c r="B450" s="26">
        <f>VLOOKUP(A450,Hoja1!A:A,1,FALSE)</f>
        <v>11482</v>
      </c>
      <c r="C450" s="13" t="s">
        <v>1777</v>
      </c>
      <c r="D450" s="35" t="s">
        <v>1706</v>
      </c>
      <c r="E450" s="33" t="s">
        <v>18</v>
      </c>
      <c r="F450" s="33" t="s">
        <v>18</v>
      </c>
      <c r="G450" s="34">
        <v>38723</v>
      </c>
      <c r="H450" s="15" t="s">
        <v>49</v>
      </c>
      <c r="I450" s="15" t="s">
        <v>110</v>
      </c>
      <c r="J450" s="15" t="s">
        <v>110</v>
      </c>
      <c r="K450" s="26">
        <v>15148</v>
      </c>
      <c r="L450" s="31" t="s">
        <v>1778</v>
      </c>
      <c r="M450" s="15">
        <v>2286</v>
      </c>
      <c r="N450" s="16" t="s">
        <v>1849</v>
      </c>
      <c r="O450" s="15">
        <v>9982273235</v>
      </c>
      <c r="P450" s="29" t="s">
        <v>2208</v>
      </c>
      <c r="Q450" s="16" t="s">
        <v>395</v>
      </c>
      <c r="R450" s="26" t="s">
        <v>99</v>
      </c>
      <c r="S450" s="31" t="s">
        <v>99</v>
      </c>
      <c r="T450" s="26" t="s">
        <v>19</v>
      </c>
      <c r="U450" s="31" t="s">
        <v>2253</v>
      </c>
      <c r="V450" s="16" t="s">
        <v>1779</v>
      </c>
      <c r="W450" s="31" t="s">
        <v>1780</v>
      </c>
      <c r="X450" s="31" t="s">
        <v>99</v>
      </c>
      <c r="Y450" s="31">
        <v>77200</v>
      </c>
      <c r="Z450" s="31" t="s">
        <v>1781</v>
      </c>
      <c r="AA450" s="31" t="s">
        <v>1747</v>
      </c>
      <c r="AB450" s="31" t="s">
        <v>1782</v>
      </c>
      <c r="AC450" s="31">
        <v>9832671289</v>
      </c>
      <c r="AD450" s="31">
        <v>9832671313</v>
      </c>
    </row>
    <row r="451" spans="1:30" x14ac:dyDescent="0.2">
      <c r="A451" s="15">
        <v>11519</v>
      </c>
      <c r="B451" s="26">
        <f>VLOOKUP(A451,Hoja1!A:A,1,FALSE)</f>
        <v>11519</v>
      </c>
      <c r="C451" s="13" t="s">
        <v>1788</v>
      </c>
      <c r="D451" s="35" t="s">
        <v>1706</v>
      </c>
      <c r="E451" s="33" t="s">
        <v>18</v>
      </c>
      <c r="F451" s="33" t="s">
        <v>18</v>
      </c>
      <c r="G451" s="34">
        <v>39501</v>
      </c>
      <c r="H451" s="15" t="s">
        <v>49</v>
      </c>
      <c r="I451" s="15" t="s">
        <v>110</v>
      </c>
      <c r="J451" s="15" t="s">
        <v>110</v>
      </c>
      <c r="K451" s="26">
        <v>47175</v>
      </c>
      <c r="L451" s="31" t="s">
        <v>2122</v>
      </c>
      <c r="M451" s="15">
        <v>2286</v>
      </c>
      <c r="N451" s="16" t="s">
        <v>1849</v>
      </c>
      <c r="O451" s="15">
        <v>9982273235</v>
      </c>
      <c r="P451" s="29" t="s">
        <v>2208</v>
      </c>
      <c r="Q451" s="16" t="s">
        <v>395</v>
      </c>
      <c r="R451" s="26" t="s">
        <v>99</v>
      </c>
      <c r="S451" s="31" t="s">
        <v>99</v>
      </c>
      <c r="T451" s="26" t="s">
        <v>19</v>
      </c>
      <c r="U451" s="31" t="s">
        <v>2253</v>
      </c>
      <c r="V451" s="16" t="s">
        <v>1789</v>
      </c>
      <c r="W451" s="31" t="s">
        <v>1790</v>
      </c>
      <c r="X451" s="31" t="s">
        <v>99</v>
      </c>
      <c r="Y451" s="31">
        <v>77710</v>
      </c>
      <c r="Z451" s="31" t="s">
        <v>1754</v>
      </c>
      <c r="AA451" s="31" t="s">
        <v>1747</v>
      </c>
      <c r="AB451" s="31" t="s">
        <v>1791</v>
      </c>
      <c r="AC451" s="31">
        <v>9841092538</v>
      </c>
      <c r="AD451" s="31">
        <v>9841955010</v>
      </c>
    </row>
    <row r="452" spans="1:30" x14ac:dyDescent="0.2">
      <c r="A452" s="15">
        <v>12310</v>
      </c>
      <c r="B452" s="26">
        <f>VLOOKUP(A452,Hoja1!A:A,1,FALSE)</f>
        <v>12310</v>
      </c>
      <c r="C452" s="13" t="s">
        <v>1897</v>
      </c>
      <c r="D452" s="35" t="s">
        <v>1706</v>
      </c>
      <c r="E452" s="33" t="s">
        <v>18</v>
      </c>
      <c r="F452" s="33" t="s">
        <v>18</v>
      </c>
      <c r="G452" s="34">
        <v>43252</v>
      </c>
      <c r="H452" s="15" t="s">
        <v>49</v>
      </c>
      <c r="I452" s="15" t="s">
        <v>110</v>
      </c>
      <c r="J452" s="15" t="s">
        <v>110</v>
      </c>
      <c r="K452" s="26">
        <v>53685</v>
      </c>
      <c r="L452" s="31" t="s">
        <v>1898</v>
      </c>
      <c r="M452" s="15">
        <v>2286</v>
      </c>
      <c r="N452" s="16" t="s">
        <v>1849</v>
      </c>
      <c r="O452" s="15">
        <v>9982273235</v>
      </c>
      <c r="P452" s="29" t="s">
        <v>2208</v>
      </c>
      <c r="Q452" s="16" t="s">
        <v>395</v>
      </c>
      <c r="R452" s="26" t="s">
        <v>99</v>
      </c>
      <c r="S452" s="31" t="s">
        <v>99</v>
      </c>
      <c r="T452" s="26" t="s">
        <v>19</v>
      </c>
      <c r="U452" s="31" t="s">
        <v>2253</v>
      </c>
      <c r="V452" s="16" t="s">
        <v>1899</v>
      </c>
      <c r="W452" s="31" t="s">
        <v>1900</v>
      </c>
      <c r="X452" s="31" t="s">
        <v>99</v>
      </c>
      <c r="Y452" s="31">
        <v>77535</v>
      </c>
      <c r="Z452" s="31" t="s">
        <v>1746</v>
      </c>
      <c r="AA452" s="31" t="s">
        <v>1747</v>
      </c>
      <c r="AB452" s="31" t="s">
        <v>1901</v>
      </c>
      <c r="AC452" s="31">
        <v>9982175329</v>
      </c>
      <c r="AD452" s="31">
        <v>9982175329</v>
      </c>
    </row>
    <row r="453" spans="1:30" x14ac:dyDescent="0.2">
      <c r="A453" s="15">
        <v>12323</v>
      </c>
      <c r="B453" s="26">
        <f>VLOOKUP(A453,Hoja1!A:A,1,FALSE)</f>
        <v>12323</v>
      </c>
      <c r="C453" s="13" t="s">
        <v>1796</v>
      </c>
      <c r="D453" s="35" t="s">
        <v>1706</v>
      </c>
      <c r="E453" s="33" t="s">
        <v>18</v>
      </c>
      <c r="F453" s="33" t="s">
        <v>18</v>
      </c>
      <c r="G453" s="34">
        <v>43416</v>
      </c>
      <c r="H453" s="15" t="s">
        <v>49</v>
      </c>
      <c r="I453" s="15" t="s">
        <v>110</v>
      </c>
      <c r="J453" s="15" t="s">
        <v>110</v>
      </c>
      <c r="K453" s="26">
        <v>47557</v>
      </c>
      <c r="L453" s="31" t="s">
        <v>2140</v>
      </c>
      <c r="M453" s="15">
        <v>2286</v>
      </c>
      <c r="N453" s="16" t="s">
        <v>1849</v>
      </c>
      <c r="O453" s="15">
        <v>9982273235</v>
      </c>
      <c r="P453" s="29" t="s">
        <v>2208</v>
      </c>
      <c r="Q453" s="16" t="s">
        <v>395</v>
      </c>
      <c r="R453" s="26" t="s">
        <v>99</v>
      </c>
      <c r="S453" s="31" t="s">
        <v>99</v>
      </c>
      <c r="T453" s="26" t="s">
        <v>19</v>
      </c>
      <c r="U453" s="31" t="s">
        <v>2253</v>
      </c>
      <c r="V453" s="16" t="s">
        <v>1797</v>
      </c>
      <c r="W453" s="31" t="s">
        <v>1798</v>
      </c>
      <c r="X453" s="31" t="s">
        <v>99</v>
      </c>
      <c r="Y453" s="31">
        <v>77710</v>
      </c>
      <c r="Z453" s="31" t="s">
        <v>1754</v>
      </c>
      <c r="AA453" s="31" t="s">
        <v>1747</v>
      </c>
      <c r="AB453" s="31" t="s">
        <v>1799</v>
      </c>
      <c r="AC453" s="31">
        <v>9842221704</v>
      </c>
      <c r="AD453" s="31">
        <v>9841092535</v>
      </c>
    </row>
    <row r="454" spans="1:30" x14ac:dyDescent="0.2">
      <c r="A454" s="15">
        <v>12333</v>
      </c>
      <c r="B454" s="26">
        <f>VLOOKUP(A454,Hoja1!A:A,1,FALSE)</f>
        <v>12333</v>
      </c>
      <c r="C454" s="13" t="s">
        <v>1800</v>
      </c>
      <c r="D454" s="28" t="s">
        <v>1706</v>
      </c>
      <c r="E454" s="33" t="s">
        <v>18</v>
      </c>
      <c r="F454" s="33" t="s">
        <v>18</v>
      </c>
      <c r="G454" s="34">
        <v>43500</v>
      </c>
      <c r="H454" s="15" t="s">
        <v>49</v>
      </c>
      <c r="I454" s="15" t="s">
        <v>110</v>
      </c>
      <c r="J454" s="15" t="s">
        <v>110</v>
      </c>
      <c r="K454" s="26">
        <v>89489</v>
      </c>
      <c r="L454" s="31" t="s">
        <v>1801</v>
      </c>
      <c r="M454" s="15">
        <v>2286</v>
      </c>
      <c r="N454" s="16" t="s">
        <v>1849</v>
      </c>
      <c r="O454" s="15">
        <v>9982273235</v>
      </c>
      <c r="P454" s="29" t="s">
        <v>2208</v>
      </c>
      <c r="Q454" s="16" t="s">
        <v>395</v>
      </c>
      <c r="R454" s="26" t="s">
        <v>99</v>
      </c>
      <c r="S454" s="31" t="s">
        <v>99</v>
      </c>
      <c r="T454" s="26" t="s">
        <v>19</v>
      </c>
      <c r="U454" s="31" t="s">
        <v>2253</v>
      </c>
      <c r="V454" s="16" t="s">
        <v>2159</v>
      </c>
      <c r="W454" s="31" t="s">
        <v>1802</v>
      </c>
      <c r="X454" s="31" t="s">
        <v>99</v>
      </c>
      <c r="Y454" s="31" t="s">
        <v>99</v>
      </c>
      <c r="Z454" s="31" t="s">
        <v>1800</v>
      </c>
      <c r="AA454" s="31" t="s">
        <v>1747</v>
      </c>
      <c r="AB454" s="31" t="s">
        <v>1803</v>
      </c>
      <c r="AC454" s="31">
        <v>9841955011</v>
      </c>
      <c r="AD454" s="31">
        <v>9841955011</v>
      </c>
    </row>
    <row r="455" spans="1:30" x14ac:dyDescent="0.2">
      <c r="A455" s="15">
        <v>12382</v>
      </c>
      <c r="B455" s="26" t="e">
        <f>VLOOKUP(A455,Hoja1!A:A,1,FALSE)</f>
        <v>#N/A</v>
      </c>
      <c r="C455" s="13" t="s">
        <v>2130</v>
      </c>
      <c r="D455" s="28" t="s">
        <v>1706</v>
      </c>
      <c r="E455" s="33" t="s">
        <v>18</v>
      </c>
      <c r="F455" s="33" t="s">
        <v>18</v>
      </c>
      <c r="G455" s="34">
        <v>43784</v>
      </c>
      <c r="H455" s="15" t="s">
        <v>49</v>
      </c>
      <c r="I455" s="15" t="s">
        <v>110</v>
      </c>
      <c r="J455" s="15" t="s">
        <v>110</v>
      </c>
      <c r="K455" s="26">
        <v>52908</v>
      </c>
      <c r="L455" s="31" t="s">
        <v>1759</v>
      </c>
      <c r="M455" s="15">
        <v>2286</v>
      </c>
      <c r="N455" s="16" t="s">
        <v>1849</v>
      </c>
      <c r="O455" s="15">
        <v>9982273235</v>
      </c>
      <c r="P455" s="29" t="s">
        <v>2208</v>
      </c>
      <c r="Q455" s="16" t="s">
        <v>395</v>
      </c>
      <c r="R455" s="26" t="s">
        <v>99</v>
      </c>
      <c r="S455" s="31" t="s">
        <v>99</v>
      </c>
      <c r="T455" s="26" t="s">
        <v>19</v>
      </c>
      <c r="U455" s="31" t="s">
        <v>2253</v>
      </c>
      <c r="V455" s="16" t="s">
        <v>2131</v>
      </c>
      <c r="W455" s="31" t="s">
        <v>89</v>
      </c>
      <c r="X455" s="31" t="s">
        <v>99</v>
      </c>
      <c r="Y455" s="31">
        <v>77600</v>
      </c>
      <c r="Z455" s="31" t="s">
        <v>1758</v>
      </c>
      <c r="AA455" s="31" t="s">
        <v>1747</v>
      </c>
      <c r="AB455" s="31" t="s">
        <v>2132</v>
      </c>
      <c r="AC455" s="31" t="s">
        <v>2133</v>
      </c>
      <c r="AD455" s="31" t="s">
        <v>2134</v>
      </c>
    </row>
    <row r="456" spans="1:30" x14ac:dyDescent="0.2">
      <c r="A456" s="15">
        <v>12384</v>
      </c>
      <c r="B456" s="26" t="e">
        <f>VLOOKUP(A456,Hoja1!A:A,1,FALSE)</f>
        <v>#N/A</v>
      </c>
      <c r="C456" s="13" t="s">
        <v>2135</v>
      </c>
      <c r="D456" s="28" t="s">
        <v>1706</v>
      </c>
      <c r="E456" s="33" t="s">
        <v>18</v>
      </c>
      <c r="F456" s="33" t="s">
        <v>18</v>
      </c>
      <c r="G456" s="34">
        <v>43784</v>
      </c>
      <c r="H456" s="15" t="s">
        <v>49</v>
      </c>
      <c r="I456" s="15" t="s">
        <v>110</v>
      </c>
      <c r="J456" s="15" t="s">
        <v>110</v>
      </c>
      <c r="K456" s="26">
        <v>47651</v>
      </c>
      <c r="L456" s="31" t="s">
        <v>2245</v>
      </c>
      <c r="M456" s="15">
        <v>2286</v>
      </c>
      <c r="N456" s="16" t="s">
        <v>1849</v>
      </c>
      <c r="O456" s="15">
        <v>9982273235</v>
      </c>
      <c r="P456" s="29" t="s">
        <v>2208</v>
      </c>
      <c r="Q456" s="16" t="s">
        <v>395</v>
      </c>
      <c r="R456" s="26" t="s">
        <v>99</v>
      </c>
      <c r="S456" s="31" t="s">
        <v>99</v>
      </c>
      <c r="T456" s="26" t="s">
        <v>19</v>
      </c>
      <c r="U456" s="31" t="s">
        <v>2253</v>
      </c>
      <c r="V456" s="16" t="s">
        <v>2232</v>
      </c>
      <c r="W456" s="31" t="s">
        <v>2135</v>
      </c>
      <c r="X456" s="31" t="s">
        <v>99</v>
      </c>
      <c r="Y456" s="31">
        <v>77725</v>
      </c>
      <c r="Z456" s="31" t="s">
        <v>1754</v>
      </c>
      <c r="AA456" s="31" t="s">
        <v>1747</v>
      </c>
      <c r="AB456" s="31" t="s">
        <v>2136</v>
      </c>
      <c r="AC456" s="31" t="s">
        <v>2137</v>
      </c>
      <c r="AD456" s="31" t="s">
        <v>2138</v>
      </c>
    </row>
    <row r="457" spans="1:30" x14ac:dyDescent="0.2">
      <c r="A457" s="15">
        <v>11032</v>
      </c>
      <c r="B457" s="26">
        <f>VLOOKUP(A457,Hoja1!A:A,1,FALSE)</f>
        <v>11032</v>
      </c>
      <c r="C457" s="13" t="s">
        <v>1906</v>
      </c>
      <c r="D457" s="35" t="s">
        <v>1706</v>
      </c>
      <c r="E457" s="33" t="s">
        <v>18</v>
      </c>
      <c r="F457" s="33" t="s">
        <v>18</v>
      </c>
      <c r="G457" s="34">
        <v>33469</v>
      </c>
      <c r="H457" s="15" t="s">
        <v>49</v>
      </c>
      <c r="I457" s="15" t="s">
        <v>110</v>
      </c>
      <c r="J457" s="15" t="s">
        <v>110</v>
      </c>
      <c r="K457" s="26">
        <v>24436</v>
      </c>
      <c r="L457" s="31" t="s">
        <v>2461</v>
      </c>
      <c r="M457" s="15">
        <v>4075</v>
      </c>
      <c r="N457" s="16" t="s">
        <v>1908</v>
      </c>
      <c r="O457" s="15">
        <v>9992331652</v>
      </c>
      <c r="P457" s="29" t="s">
        <v>2209</v>
      </c>
      <c r="Q457" s="16" t="s">
        <v>395</v>
      </c>
      <c r="R457" s="26" t="s">
        <v>99</v>
      </c>
      <c r="S457" s="31" t="s">
        <v>99</v>
      </c>
      <c r="T457" s="26" t="s">
        <v>19</v>
      </c>
      <c r="U457" s="31" t="s">
        <v>2253</v>
      </c>
      <c r="V457" s="16" t="s">
        <v>1909</v>
      </c>
      <c r="W457" s="31" t="s">
        <v>1910</v>
      </c>
      <c r="X457" s="31" t="s">
        <v>99</v>
      </c>
      <c r="Y457" s="31">
        <v>97119</v>
      </c>
      <c r="Z457" s="31" t="s">
        <v>1809</v>
      </c>
      <c r="AA457" s="31" t="s">
        <v>1810</v>
      </c>
      <c r="AB457" s="31" t="s">
        <v>1911</v>
      </c>
      <c r="AC457" s="31">
        <v>9999481112</v>
      </c>
      <c r="AD457" s="31">
        <v>9999441733</v>
      </c>
    </row>
    <row r="458" spans="1:30" x14ac:dyDescent="0.2">
      <c r="A458" s="15">
        <v>11084</v>
      </c>
      <c r="B458" s="26">
        <f>VLOOKUP(A458,Hoja1!A:A,1,FALSE)</f>
        <v>11084</v>
      </c>
      <c r="C458" s="13" t="s">
        <v>1804</v>
      </c>
      <c r="D458" s="35" t="s">
        <v>1706</v>
      </c>
      <c r="E458" s="33" t="s">
        <v>18</v>
      </c>
      <c r="F458" s="33" t="s">
        <v>18</v>
      </c>
      <c r="G458" s="34">
        <v>33958</v>
      </c>
      <c r="H458" s="15" t="s">
        <v>49</v>
      </c>
      <c r="I458" s="15" t="s">
        <v>110</v>
      </c>
      <c r="J458" s="15" t="s">
        <v>110</v>
      </c>
      <c r="K458" s="26">
        <v>15365</v>
      </c>
      <c r="L458" s="31" t="s">
        <v>1839</v>
      </c>
      <c r="M458" s="15">
        <v>4075</v>
      </c>
      <c r="N458" s="16" t="s">
        <v>1908</v>
      </c>
      <c r="O458" s="15">
        <v>9992331652</v>
      </c>
      <c r="P458" s="29" t="s">
        <v>2209</v>
      </c>
      <c r="Q458" s="16" t="s">
        <v>395</v>
      </c>
      <c r="R458" s="26" t="s">
        <v>99</v>
      </c>
      <c r="S458" s="31" t="s">
        <v>99</v>
      </c>
      <c r="T458" s="26" t="s">
        <v>19</v>
      </c>
      <c r="U458" s="31" t="s">
        <v>2253</v>
      </c>
      <c r="V458" s="16" t="s">
        <v>1807</v>
      </c>
      <c r="W458" s="31" t="s">
        <v>1808</v>
      </c>
      <c r="X458" s="31" t="s">
        <v>99</v>
      </c>
      <c r="Y458" s="31">
        <v>97070</v>
      </c>
      <c r="Z458" s="31" t="s">
        <v>1809</v>
      </c>
      <c r="AA458" s="31" t="s">
        <v>1810</v>
      </c>
      <c r="AB458" s="31" t="s">
        <v>1811</v>
      </c>
      <c r="AC458" s="31">
        <v>9999259720</v>
      </c>
      <c r="AD458" s="31">
        <v>9999200909</v>
      </c>
    </row>
    <row r="459" spans="1:30" x14ac:dyDescent="0.2">
      <c r="A459" s="15">
        <v>11202</v>
      </c>
      <c r="B459" s="26">
        <f>VLOOKUP(A459,Hoja1!A:A,1,FALSE)</f>
        <v>11202</v>
      </c>
      <c r="C459" s="13" t="s">
        <v>1817</v>
      </c>
      <c r="D459" s="35" t="s">
        <v>1706</v>
      </c>
      <c r="E459" s="33" t="s">
        <v>18</v>
      </c>
      <c r="F459" s="33" t="s">
        <v>18</v>
      </c>
      <c r="G459" s="34">
        <v>35983</v>
      </c>
      <c r="H459" s="15" t="s">
        <v>49</v>
      </c>
      <c r="I459" s="15" t="s">
        <v>110</v>
      </c>
      <c r="J459" s="15" t="s">
        <v>110</v>
      </c>
      <c r="K459" s="26">
        <v>23927</v>
      </c>
      <c r="L459" s="31" t="s">
        <v>1964</v>
      </c>
      <c r="M459" s="15">
        <v>4075</v>
      </c>
      <c r="N459" s="16" t="s">
        <v>1908</v>
      </c>
      <c r="O459" s="15">
        <v>9992331652</v>
      </c>
      <c r="P459" s="29" t="s">
        <v>2209</v>
      </c>
      <c r="Q459" s="16" t="s">
        <v>395</v>
      </c>
      <c r="R459" s="26" t="s">
        <v>99</v>
      </c>
      <c r="S459" s="31" t="s">
        <v>99</v>
      </c>
      <c r="T459" s="26" t="s">
        <v>19</v>
      </c>
      <c r="U459" s="31" t="s">
        <v>2253</v>
      </c>
      <c r="V459" s="16" t="s">
        <v>1818</v>
      </c>
      <c r="W459" s="31" t="s">
        <v>89</v>
      </c>
      <c r="X459" s="31" t="s">
        <v>99</v>
      </c>
      <c r="Y459" s="31">
        <v>97000</v>
      </c>
      <c r="Z459" s="31" t="s">
        <v>1809</v>
      </c>
      <c r="AA459" s="31" t="s">
        <v>1810</v>
      </c>
      <c r="AB459" s="31" t="s">
        <v>1819</v>
      </c>
      <c r="AC459" s="31">
        <v>9999232001</v>
      </c>
      <c r="AD459" s="31">
        <v>9999232020</v>
      </c>
    </row>
    <row r="460" spans="1:30" x14ac:dyDescent="0.2">
      <c r="A460" s="15">
        <v>11224</v>
      </c>
      <c r="B460" s="26">
        <f>VLOOKUP(A460,Hoja1!A:A,1,FALSE)</f>
        <v>11224</v>
      </c>
      <c r="C460" s="13" t="s">
        <v>1912</v>
      </c>
      <c r="D460" s="35" t="s">
        <v>1706</v>
      </c>
      <c r="E460" s="33" t="s">
        <v>18</v>
      </c>
      <c r="F460" s="33" t="s">
        <v>18</v>
      </c>
      <c r="G460" s="34">
        <v>36139</v>
      </c>
      <c r="H460" s="15" t="s">
        <v>49</v>
      </c>
      <c r="I460" s="15" t="s">
        <v>110</v>
      </c>
      <c r="J460" s="15" t="s">
        <v>110</v>
      </c>
      <c r="K460" s="26">
        <v>15199</v>
      </c>
      <c r="L460" s="31" t="s">
        <v>1963</v>
      </c>
      <c r="M460" s="15">
        <v>4075</v>
      </c>
      <c r="N460" s="16" t="s">
        <v>1908</v>
      </c>
      <c r="O460" s="15">
        <v>9992331652</v>
      </c>
      <c r="P460" s="29" t="s">
        <v>2209</v>
      </c>
      <c r="Q460" s="16" t="s">
        <v>395</v>
      </c>
      <c r="R460" s="26" t="s">
        <v>99</v>
      </c>
      <c r="S460" s="31" t="s">
        <v>99</v>
      </c>
      <c r="T460" s="26" t="s">
        <v>19</v>
      </c>
      <c r="U460" s="31" t="s">
        <v>2253</v>
      </c>
      <c r="V460" s="16" t="s">
        <v>1913</v>
      </c>
      <c r="W460" s="31" t="s">
        <v>1914</v>
      </c>
      <c r="X460" s="31" t="s">
        <v>99</v>
      </c>
      <c r="Y460" s="31">
        <v>97136</v>
      </c>
      <c r="Z460" s="31" t="s">
        <v>1809</v>
      </c>
      <c r="AA460" s="31" t="s">
        <v>1810</v>
      </c>
      <c r="AB460" s="31" t="s">
        <v>1915</v>
      </c>
      <c r="AC460" s="31">
        <v>9999261997</v>
      </c>
      <c r="AD460" s="31">
        <v>9999262323</v>
      </c>
    </row>
    <row r="461" spans="1:30" x14ac:dyDescent="0.2">
      <c r="A461" s="15">
        <v>11350</v>
      </c>
      <c r="B461" s="26">
        <f>VLOOKUP(A461,Hoja1!A:A,1,FALSE)</f>
        <v>11350</v>
      </c>
      <c r="C461" s="13" t="s">
        <v>1820</v>
      </c>
      <c r="D461" s="35" t="s">
        <v>1706</v>
      </c>
      <c r="E461" s="33" t="s">
        <v>18</v>
      </c>
      <c r="F461" s="33" t="s">
        <v>18</v>
      </c>
      <c r="G461" s="34">
        <v>36859</v>
      </c>
      <c r="H461" s="15" t="s">
        <v>49</v>
      </c>
      <c r="I461" s="15" t="s">
        <v>110</v>
      </c>
      <c r="J461" s="15" t="s">
        <v>110</v>
      </c>
      <c r="K461" s="26">
        <v>18267</v>
      </c>
      <c r="L461" s="31" t="s">
        <v>1962</v>
      </c>
      <c r="M461" s="15">
        <v>4075</v>
      </c>
      <c r="N461" s="16" t="s">
        <v>1908</v>
      </c>
      <c r="O461" s="15">
        <v>9992331652</v>
      </c>
      <c r="P461" s="29" t="s">
        <v>2209</v>
      </c>
      <c r="Q461" s="16" t="s">
        <v>395</v>
      </c>
      <c r="R461" s="26" t="s">
        <v>99</v>
      </c>
      <c r="S461" s="31" t="s">
        <v>99</v>
      </c>
      <c r="T461" s="26" t="s">
        <v>19</v>
      </c>
      <c r="U461" s="31" t="s">
        <v>2253</v>
      </c>
      <c r="V461" s="16" t="s">
        <v>1821</v>
      </c>
      <c r="W461" s="31" t="s">
        <v>1822</v>
      </c>
      <c r="X461" s="31" t="s">
        <v>99</v>
      </c>
      <c r="Y461" s="31">
        <v>97259</v>
      </c>
      <c r="Z461" s="31" t="s">
        <v>1809</v>
      </c>
      <c r="AA461" s="31" t="s">
        <v>1810</v>
      </c>
      <c r="AB461" s="31" t="s">
        <v>1823</v>
      </c>
      <c r="AC461" s="31">
        <v>9991765664</v>
      </c>
      <c r="AD461" s="31">
        <v>9999844444</v>
      </c>
    </row>
    <row r="462" spans="1:30" x14ac:dyDescent="0.2">
      <c r="A462" s="15">
        <v>11367</v>
      </c>
      <c r="B462" s="26">
        <f>VLOOKUP(A462,Hoja1!A:A,1,FALSE)</f>
        <v>11367</v>
      </c>
      <c r="C462" s="13" t="s">
        <v>1920</v>
      </c>
      <c r="D462" s="35" t="s">
        <v>1706</v>
      </c>
      <c r="E462" s="33" t="s">
        <v>18</v>
      </c>
      <c r="F462" s="33" t="s">
        <v>18</v>
      </c>
      <c r="G462" s="34">
        <v>37098</v>
      </c>
      <c r="H462" s="15" t="s">
        <v>49</v>
      </c>
      <c r="I462" s="15" t="s">
        <v>110</v>
      </c>
      <c r="J462" s="15" t="s">
        <v>110</v>
      </c>
      <c r="K462" s="26">
        <v>15995</v>
      </c>
      <c r="L462" s="31" t="s">
        <v>1921</v>
      </c>
      <c r="M462" s="15">
        <v>4075</v>
      </c>
      <c r="N462" s="16" t="s">
        <v>1908</v>
      </c>
      <c r="O462" s="15">
        <v>9992331652</v>
      </c>
      <c r="P462" s="29" t="s">
        <v>2209</v>
      </c>
      <c r="Q462" s="16" t="s">
        <v>395</v>
      </c>
      <c r="R462" s="26" t="s">
        <v>99</v>
      </c>
      <c r="S462" s="31" t="s">
        <v>99</v>
      </c>
      <c r="T462" s="26" t="s">
        <v>19</v>
      </c>
      <c r="U462" s="31" t="s">
        <v>2253</v>
      </c>
      <c r="V462" s="16" t="s">
        <v>1922</v>
      </c>
      <c r="W462" s="31" t="s">
        <v>1923</v>
      </c>
      <c r="X462" s="31" t="s">
        <v>99</v>
      </c>
      <c r="Y462" s="31">
        <v>97207</v>
      </c>
      <c r="Z462" s="31" t="s">
        <v>1809</v>
      </c>
      <c r="AA462" s="31" t="s">
        <v>1810</v>
      </c>
      <c r="AB462" s="31" t="s">
        <v>1924</v>
      </c>
      <c r="AC462" s="31">
        <v>9999535300</v>
      </c>
      <c r="AD462" s="31">
        <v>9999535353</v>
      </c>
    </row>
    <row r="463" spans="1:30" x14ac:dyDescent="0.2">
      <c r="A463" s="15">
        <v>11436</v>
      </c>
      <c r="B463" s="26">
        <f>VLOOKUP(A463,Hoja1!A:A,1,FALSE)</f>
        <v>11436</v>
      </c>
      <c r="C463" s="13" t="s">
        <v>1925</v>
      </c>
      <c r="D463" s="35" t="s">
        <v>1706</v>
      </c>
      <c r="E463" s="33" t="s">
        <v>18</v>
      </c>
      <c r="F463" s="33" t="s">
        <v>18</v>
      </c>
      <c r="G463" s="34">
        <v>38054</v>
      </c>
      <c r="H463" s="15" t="s">
        <v>49</v>
      </c>
      <c r="I463" s="15" t="s">
        <v>110</v>
      </c>
      <c r="J463" s="15" t="s">
        <v>110</v>
      </c>
      <c r="K463" s="26">
        <v>46388</v>
      </c>
      <c r="L463" s="31" t="s">
        <v>2125</v>
      </c>
      <c r="M463" s="15">
        <v>4075</v>
      </c>
      <c r="N463" s="16" t="s">
        <v>1908</v>
      </c>
      <c r="O463" s="15">
        <v>9992331652</v>
      </c>
      <c r="P463" s="29" t="s">
        <v>2209</v>
      </c>
      <c r="Q463" s="16" t="s">
        <v>395</v>
      </c>
      <c r="R463" s="26" t="s">
        <v>99</v>
      </c>
      <c r="S463" s="31" t="s">
        <v>99</v>
      </c>
      <c r="T463" s="26" t="s">
        <v>19</v>
      </c>
      <c r="U463" s="31" t="s">
        <v>2253</v>
      </c>
      <c r="V463" s="16" t="s">
        <v>1926</v>
      </c>
      <c r="W463" s="31" t="s">
        <v>89</v>
      </c>
      <c r="X463" s="31" t="s">
        <v>99</v>
      </c>
      <c r="Y463" s="31">
        <v>97320</v>
      </c>
      <c r="Z463" s="31" t="s">
        <v>1925</v>
      </c>
      <c r="AA463" s="31" t="s">
        <v>1810</v>
      </c>
      <c r="AB463" s="31" t="s">
        <v>1927</v>
      </c>
      <c r="AC463" s="31">
        <v>9699344700</v>
      </c>
      <c r="AD463" s="31">
        <v>9699341010</v>
      </c>
    </row>
    <row r="464" spans="1:30" x14ac:dyDescent="0.2">
      <c r="A464" s="15">
        <v>11465</v>
      </c>
      <c r="B464" s="26">
        <f>VLOOKUP(A464,Hoja1!A:A,1,FALSE)</f>
        <v>11465</v>
      </c>
      <c r="C464" s="13" t="s">
        <v>1834</v>
      </c>
      <c r="D464" s="35" t="s">
        <v>1706</v>
      </c>
      <c r="E464" s="33" t="s">
        <v>18</v>
      </c>
      <c r="F464" s="33" t="s">
        <v>18</v>
      </c>
      <c r="G464" s="34">
        <v>38544</v>
      </c>
      <c r="H464" s="15" t="s">
        <v>49</v>
      </c>
      <c r="I464" s="15" t="s">
        <v>110</v>
      </c>
      <c r="J464" s="15" t="s">
        <v>110</v>
      </c>
      <c r="K464" s="26">
        <v>49089</v>
      </c>
      <c r="L464" s="31" t="s">
        <v>2139</v>
      </c>
      <c r="M464" s="15">
        <v>4075</v>
      </c>
      <c r="N464" s="16" t="s">
        <v>1908</v>
      </c>
      <c r="O464" s="15">
        <v>9992331652</v>
      </c>
      <c r="P464" s="29" t="s">
        <v>2209</v>
      </c>
      <c r="Q464" s="16" t="s">
        <v>395</v>
      </c>
      <c r="R464" s="26" t="s">
        <v>99</v>
      </c>
      <c r="S464" s="31" t="s">
        <v>99</v>
      </c>
      <c r="T464" s="26" t="s">
        <v>19</v>
      </c>
      <c r="U464" s="31" t="s">
        <v>2253</v>
      </c>
      <c r="V464" s="16" t="s">
        <v>1835</v>
      </c>
      <c r="W464" s="31" t="s">
        <v>1836</v>
      </c>
      <c r="X464" s="31" t="s">
        <v>99</v>
      </c>
      <c r="Y464" s="31">
        <v>97170</v>
      </c>
      <c r="Z464" s="31" t="s">
        <v>1809</v>
      </c>
      <c r="AA464" s="31" t="s">
        <v>1810</v>
      </c>
      <c r="AB464" s="31" t="s">
        <v>1837</v>
      </c>
      <c r="AC464" s="31">
        <v>9991661986</v>
      </c>
      <c r="AD464" s="31">
        <v>9991661990</v>
      </c>
    </row>
    <row r="465" spans="1:32" s="27" customFormat="1" x14ac:dyDescent="0.2">
      <c r="A465" s="15">
        <v>11474</v>
      </c>
      <c r="B465" s="26">
        <f>VLOOKUP(A465,Hoja1!A:A,1,FALSE)</f>
        <v>11474</v>
      </c>
      <c r="C465" s="13" t="s">
        <v>1838</v>
      </c>
      <c r="D465" s="35" t="s">
        <v>1706</v>
      </c>
      <c r="E465" s="33" t="s">
        <v>18</v>
      </c>
      <c r="F465" s="33" t="s">
        <v>18</v>
      </c>
      <c r="G465" s="34">
        <v>38691</v>
      </c>
      <c r="H465" s="15" t="s">
        <v>49</v>
      </c>
      <c r="I465" s="15" t="s">
        <v>110</v>
      </c>
      <c r="J465" s="15" t="s">
        <v>110</v>
      </c>
      <c r="K465" s="26">
        <v>51816</v>
      </c>
      <c r="L465" s="31" t="s">
        <v>1805</v>
      </c>
      <c r="M465" s="15">
        <v>4075</v>
      </c>
      <c r="N465" s="16" t="s">
        <v>1908</v>
      </c>
      <c r="O465" s="15">
        <v>9992331652</v>
      </c>
      <c r="P465" s="29" t="s">
        <v>2209</v>
      </c>
      <c r="Q465" s="16" t="s">
        <v>395</v>
      </c>
      <c r="R465" s="26" t="s">
        <v>99</v>
      </c>
      <c r="S465" s="31" t="s">
        <v>99</v>
      </c>
      <c r="T465" s="26" t="s">
        <v>19</v>
      </c>
      <c r="U465" s="31" t="s">
        <v>2253</v>
      </c>
      <c r="V465" s="16" t="s">
        <v>1840</v>
      </c>
      <c r="W465" s="31" t="s">
        <v>1841</v>
      </c>
      <c r="X465" s="31" t="s">
        <v>99</v>
      </c>
      <c r="Y465" s="31">
        <v>97249</v>
      </c>
      <c r="Z465" s="31" t="s">
        <v>1809</v>
      </c>
      <c r="AA465" s="31" t="s">
        <v>1810</v>
      </c>
      <c r="AB465" s="31" t="s">
        <v>1842</v>
      </c>
      <c r="AC465" s="31">
        <v>9991684678</v>
      </c>
      <c r="AD465" s="31">
        <v>9991681717</v>
      </c>
      <c r="AE465" s="13"/>
      <c r="AF465" s="13"/>
    </row>
    <row r="466" spans="1:32" s="27" customFormat="1" x14ac:dyDescent="0.2">
      <c r="A466" s="15">
        <v>11557</v>
      </c>
      <c r="B466" s="26">
        <f>VLOOKUP(A466,Hoja1!A:A,1,FALSE)</f>
        <v>11557</v>
      </c>
      <c r="C466" s="13" t="s">
        <v>1928</v>
      </c>
      <c r="D466" s="35" t="s">
        <v>1706</v>
      </c>
      <c r="E466" s="33" t="s">
        <v>18</v>
      </c>
      <c r="F466" s="33" t="s">
        <v>18</v>
      </c>
      <c r="G466" s="34">
        <v>41639</v>
      </c>
      <c r="H466" s="15" t="s">
        <v>49</v>
      </c>
      <c r="I466" s="15" t="s">
        <v>110</v>
      </c>
      <c r="J466" s="15" t="s">
        <v>110</v>
      </c>
      <c r="K466" s="26">
        <v>16356</v>
      </c>
      <c r="L466" s="31" t="s">
        <v>1929</v>
      </c>
      <c r="M466" s="15">
        <v>4075</v>
      </c>
      <c r="N466" s="16" t="s">
        <v>1908</v>
      </c>
      <c r="O466" s="15">
        <v>9992331652</v>
      </c>
      <c r="P466" s="29" t="s">
        <v>2209</v>
      </c>
      <c r="Q466" s="16" t="s">
        <v>395</v>
      </c>
      <c r="R466" s="26" t="s">
        <v>99</v>
      </c>
      <c r="S466" s="31" t="s">
        <v>99</v>
      </c>
      <c r="T466" s="26" t="s">
        <v>19</v>
      </c>
      <c r="U466" s="31" t="s">
        <v>2253</v>
      </c>
      <c r="V466" s="16" t="s">
        <v>1930</v>
      </c>
      <c r="W466" s="31" t="s">
        <v>1931</v>
      </c>
      <c r="X466" s="31" t="s">
        <v>99</v>
      </c>
      <c r="Y466" s="31">
        <v>97117</v>
      </c>
      <c r="Z466" s="31" t="s">
        <v>1809</v>
      </c>
      <c r="AA466" s="31" t="s">
        <v>1810</v>
      </c>
      <c r="AB466" s="31" t="s">
        <v>1932</v>
      </c>
      <c r="AC466" s="31">
        <v>9999138890</v>
      </c>
      <c r="AD466" s="31">
        <v>9999138890</v>
      </c>
      <c r="AE466" s="13"/>
      <c r="AF466" s="13"/>
    </row>
    <row r="467" spans="1:32" s="27" customFormat="1" x14ac:dyDescent="0.2">
      <c r="A467" s="15">
        <v>12334</v>
      </c>
      <c r="B467" s="26">
        <f>VLOOKUP(A467,Hoja1!A:A,1,FALSE)</f>
        <v>12334</v>
      </c>
      <c r="C467" s="13" t="s">
        <v>1845</v>
      </c>
      <c r="D467" s="35" t="s">
        <v>1706</v>
      </c>
      <c r="E467" s="33" t="s">
        <v>18</v>
      </c>
      <c r="F467" s="33" t="s">
        <v>18</v>
      </c>
      <c r="G467" s="34">
        <v>43420</v>
      </c>
      <c r="H467" s="15" t="s">
        <v>49</v>
      </c>
      <c r="I467" s="15" t="s">
        <v>110</v>
      </c>
      <c r="J467" s="15" t="s">
        <v>110</v>
      </c>
      <c r="K467" s="26">
        <v>15839</v>
      </c>
      <c r="L467" s="31" t="s">
        <v>1843</v>
      </c>
      <c r="M467" s="15">
        <v>4075</v>
      </c>
      <c r="N467" s="16" t="s">
        <v>1908</v>
      </c>
      <c r="O467" s="15">
        <v>9992331652</v>
      </c>
      <c r="P467" s="29" t="s">
        <v>2209</v>
      </c>
      <c r="Q467" s="16" t="s">
        <v>395</v>
      </c>
      <c r="R467" s="26" t="s">
        <v>99</v>
      </c>
      <c r="S467" s="31" t="s">
        <v>99</v>
      </c>
      <c r="T467" s="26" t="s">
        <v>19</v>
      </c>
      <c r="U467" s="31" t="s">
        <v>2253</v>
      </c>
      <c r="V467" s="16" t="s">
        <v>1844</v>
      </c>
      <c r="W467" s="31" t="s">
        <v>1845</v>
      </c>
      <c r="X467" s="31" t="s">
        <v>99</v>
      </c>
      <c r="Y467" s="31">
        <v>97246</v>
      </c>
      <c r="Z467" s="31" t="s">
        <v>1809</v>
      </c>
      <c r="AA467" s="31" t="s">
        <v>1810</v>
      </c>
      <c r="AB467" s="31" t="s">
        <v>1846</v>
      </c>
      <c r="AC467" s="31">
        <v>9994540011</v>
      </c>
      <c r="AD467" s="31">
        <v>9994540011</v>
      </c>
      <c r="AE467" s="13"/>
      <c r="AF467" s="13"/>
    </row>
    <row r="468" spans="1:32" x14ac:dyDescent="0.2">
      <c r="A468" s="15"/>
      <c r="B468" s="15"/>
      <c r="D468" s="35"/>
      <c r="G468" s="34"/>
    </row>
    <row r="470" spans="1:32" x14ac:dyDescent="0.2">
      <c r="A470" s="19" t="s">
        <v>20</v>
      </c>
      <c r="B470" s="19"/>
      <c r="C470" s="19"/>
      <c r="D470" s="19"/>
      <c r="E470" s="19"/>
      <c r="F470" s="19"/>
      <c r="G470" s="20"/>
      <c r="H470" s="20"/>
      <c r="I470" s="20"/>
      <c r="J470" s="20"/>
      <c r="K470" s="21"/>
      <c r="L470" s="19"/>
      <c r="M470" s="22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  <c r="AA470" s="19"/>
      <c r="AB470" s="19"/>
      <c r="AC470" s="22"/>
      <c r="AD470" s="22"/>
    </row>
    <row r="471" spans="1:32" ht="22.5" x14ac:dyDescent="0.2">
      <c r="A471" s="23" t="s">
        <v>23</v>
      </c>
      <c r="B471" s="23"/>
      <c r="C471" s="24" t="s">
        <v>24</v>
      </c>
      <c r="D471" s="24" t="s">
        <v>25</v>
      </c>
      <c r="E471" s="24" t="s">
        <v>26</v>
      </c>
      <c r="F471" s="24" t="s">
        <v>27</v>
      </c>
      <c r="G471" s="24" t="s">
        <v>28</v>
      </c>
      <c r="H471" s="24" t="s">
        <v>29</v>
      </c>
      <c r="I471" s="24" t="s">
        <v>30</v>
      </c>
      <c r="J471" s="24" t="s">
        <v>31</v>
      </c>
      <c r="K471" s="25" t="s">
        <v>32</v>
      </c>
      <c r="L471" s="24" t="s">
        <v>33</v>
      </c>
      <c r="M471" s="24" t="s">
        <v>34</v>
      </c>
      <c r="N471" s="24" t="s">
        <v>35</v>
      </c>
      <c r="O471" s="24" t="s">
        <v>2163</v>
      </c>
      <c r="P471" s="24" t="s">
        <v>2164</v>
      </c>
      <c r="Q471" s="24" t="s">
        <v>36</v>
      </c>
      <c r="R471" s="24" t="s">
        <v>2210</v>
      </c>
      <c r="S471" s="24" t="s">
        <v>2212</v>
      </c>
      <c r="T471" s="24" t="s">
        <v>2223</v>
      </c>
      <c r="U471" s="24" t="s">
        <v>37</v>
      </c>
      <c r="V471" s="24" t="s">
        <v>38</v>
      </c>
      <c r="W471" s="24" t="s">
        <v>39</v>
      </c>
      <c r="X471" s="24" t="s">
        <v>40</v>
      </c>
      <c r="Y471" s="24" t="s">
        <v>41</v>
      </c>
      <c r="Z471" s="24" t="s">
        <v>42</v>
      </c>
      <c r="AA471" s="24" t="s">
        <v>43</v>
      </c>
      <c r="AB471" s="24" t="s">
        <v>44</v>
      </c>
      <c r="AC471" s="24" t="s">
        <v>45</v>
      </c>
      <c r="AD471" s="24" t="s">
        <v>46</v>
      </c>
    </row>
    <row r="472" spans="1:32" x14ac:dyDescent="0.2">
      <c r="A472" s="15"/>
      <c r="B472" s="15"/>
      <c r="D472" s="28"/>
      <c r="E472" s="29"/>
      <c r="F472" s="29"/>
      <c r="G472" s="30"/>
      <c r="Q472" s="31"/>
      <c r="R472" s="31"/>
      <c r="S472" s="31"/>
      <c r="T472" s="26"/>
      <c r="U472" s="31"/>
    </row>
    <row r="473" spans="1:32" x14ac:dyDescent="0.2">
      <c r="A473" s="15"/>
      <c r="B473" s="15"/>
      <c r="D473" s="28"/>
      <c r="E473" s="29"/>
      <c r="F473" s="29"/>
      <c r="G473" s="30"/>
      <c r="Q473" s="31"/>
      <c r="R473" s="31"/>
      <c r="S473" s="31"/>
      <c r="T473" s="26"/>
      <c r="U473" s="31"/>
    </row>
    <row r="474" spans="1:32" x14ac:dyDescent="0.2">
      <c r="A474" s="15"/>
      <c r="B474" s="15"/>
      <c r="D474" s="35"/>
      <c r="G474" s="34"/>
    </row>
    <row r="475" spans="1:32" x14ac:dyDescent="0.2">
      <c r="A475" s="36" t="s">
        <v>1946</v>
      </c>
      <c r="B475" s="36"/>
      <c r="C475" s="36"/>
      <c r="D475" s="36"/>
      <c r="E475" s="36"/>
      <c r="F475" s="36"/>
      <c r="G475" s="17"/>
      <c r="H475" s="17"/>
      <c r="I475" s="17"/>
      <c r="J475" s="17"/>
      <c r="L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E475" s="17"/>
    </row>
    <row r="476" spans="1:32" ht="22.5" x14ac:dyDescent="0.2">
      <c r="A476" s="37" t="s">
        <v>23</v>
      </c>
      <c r="B476" s="37"/>
      <c r="C476" s="38" t="s">
        <v>24</v>
      </c>
      <c r="D476" s="38" t="s">
        <v>25</v>
      </c>
      <c r="E476" s="38" t="s">
        <v>26</v>
      </c>
      <c r="F476" s="38" t="s">
        <v>27</v>
      </c>
      <c r="G476" s="17"/>
      <c r="H476" s="17"/>
      <c r="I476" s="17"/>
      <c r="J476" s="17"/>
      <c r="L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E476" s="17"/>
    </row>
    <row r="477" spans="1:32" x14ac:dyDescent="0.2">
      <c r="A477" s="15">
        <v>11539</v>
      </c>
      <c r="B477" s="15"/>
      <c r="C477" s="13" t="s">
        <v>1520</v>
      </c>
      <c r="D477" s="28" t="s">
        <v>1360</v>
      </c>
      <c r="E477" s="13" t="s">
        <v>16</v>
      </c>
      <c r="F477" s="13" t="s">
        <v>16</v>
      </c>
      <c r="G477" s="34"/>
    </row>
    <row r="478" spans="1:32" x14ac:dyDescent="0.2">
      <c r="A478" s="15">
        <v>11827</v>
      </c>
      <c r="B478" s="15"/>
      <c r="C478" s="13" t="s">
        <v>1947</v>
      </c>
      <c r="D478" s="28" t="s">
        <v>48</v>
      </c>
      <c r="E478" s="13" t="s">
        <v>8</v>
      </c>
      <c r="F478" s="13" t="s">
        <v>8</v>
      </c>
      <c r="G478" s="34"/>
    </row>
    <row r="479" spans="1:32" x14ac:dyDescent="0.2">
      <c r="A479" s="15">
        <v>11714</v>
      </c>
      <c r="B479" s="15"/>
      <c r="C479" s="13" t="s">
        <v>1948</v>
      </c>
      <c r="D479" s="28" t="s">
        <v>48</v>
      </c>
      <c r="E479" s="13" t="s">
        <v>8</v>
      </c>
      <c r="F479" s="13" t="s">
        <v>8</v>
      </c>
      <c r="G479" s="34"/>
    </row>
    <row r="480" spans="1:32" x14ac:dyDescent="0.2">
      <c r="A480" s="15">
        <v>11929</v>
      </c>
      <c r="B480" s="15"/>
      <c r="C480" s="13" t="s">
        <v>2148</v>
      </c>
      <c r="D480" s="39" t="s">
        <v>488</v>
      </c>
      <c r="E480" s="13" t="s">
        <v>10</v>
      </c>
      <c r="F480" s="13" t="s">
        <v>10</v>
      </c>
      <c r="G480" s="34"/>
      <c r="K480" s="17"/>
      <c r="N480" s="16"/>
      <c r="O480" s="16"/>
      <c r="P480" s="16"/>
    </row>
    <row r="481" spans="1:30" x14ac:dyDescent="0.2">
      <c r="A481" s="26">
        <v>11741</v>
      </c>
      <c r="B481" s="26"/>
      <c r="C481" s="27" t="s">
        <v>59</v>
      </c>
      <c r="D481" s="28" t="s">
        <v>48</v>
      </c>
      <c r="E481" s="29" t="s">
        <v>8</v>
      </c>
      <c r="F481" s="29" t="s">
        <v>8</v>
      </c>
      <c r="G481" s="30"/>
      <c r="H481" s="26"/>
      <c r="I481" s="26"/>
      <c r="J481" s="26"/>
      <c r="K481" s="26"/>
      <c r="L481" s="31"/>
      <c r="M481" s="26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</row>
    <row r="482" spans="1:30" x14ac:dyDescent="0.2">
      <c r="A482" s="26">
        <v>11818</v>
      </c>
      <c r="B482" s="26"/>
      <c r="C482" s="27" t="s">
        <v>91</v>
      </c>
      <c r="D482" s="28" t="s">
        <v>48</v>
      </c>
      <c r="E482" s="29" t="s">
        <v>8</v>
      </c>
      <c r="F482" s="29" t="s">
        <v>8</v>
      </c>
      <c r="G482" s="30"/>
      <c r="H482" s="26"/>
      <c r="I482" s="26"/>
      <c r="J482" s="26"/>
      <c r="K482" s="26"/>
      <c r="L482" s="31"/>
      <c r="M482" s="26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</row>
    <row r="483" spans="1:30" x14ac:dyDescent="0.2">
      <c r="A483" s="26">
        <v>11191</v>
      </c>
      <c r="B483" s="26"/>
      <c r="C483" s="27" t="s">
        <v>1490</v>
      </c>
      <c r="D483" s="28" t="s">
        <v>1360</v>
      </c>
      <c r="E483" s="29" t="s">
        <v>16</v>
      </c>
      <c r="F483" s="29" t="s">
        <v>16</v>
      </c>
    </row>
  </sheetData>
  <autoFilter ref="A8:AG8"/>
  <sortState ref="A9:AD467">
    <sortCondition ref="F9:F467"/>
    <sortCondition ref="N9:N467"/>
    <sortCondition ref="A9:A467"/>
  </sortState>
  <hyperlinks>
    <hyperlink ref="AB74" r:id="rId1"/>
    <hyperlink ref="AB139" r:id="rId2"/>
    <hyperlink ref="AB316" r:id="rId3"/>
    <hyperlink ref="AB250" r:id="rId4"/>
    <hyperlink ref="P426" r:id="rId5"/>
    <hyperlink ref="P428" r:id="rId6"/>
    <hyperlink ref="P440:P441" r:id="rId7" display="gustavo.gomez@alsea.com.mx"/>
    <hyperlink ref="P425" r:id="rId8"/>
    <hyperlink ref="P427" r:id="rId9"/>
    <hyperlink ref="P429" r:id="rId10"/>
    <hyperlink ref="P430" r:id="rId11"/>
  </hyperlinks>
  <pageMargins left="0.7" right="0.7" top="0.75" bottom="0.75" header="0.3" footer="0.3"/>
  <pageSetup orientation="portrait" r:id="rId12"/>
  <ignoredErrors>
    <ignoredError sqref="D477:D483 D9:D467" numberStoredAsText="1"/>
  </ignoredErrors>
  <drawing r:id="rId1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72"/>
  <sheetViews>
    <sheetView workbookViewId="0">
      <selection sqref="A1:A472"/>
    </sheetView>
  </sheetViews>
  <sheetFormatPr baseColWidth="10" defaultRowHeight="15" x14ac:dyDescent="0.25"/>
  <sheetData>
    <row r="1" spans="1:1" x14ac:dyDescent="0.25">
      <c r="A1">
        <v>11721</v>
      </c>
    </row>
    <row r="2" spans="1:1" x14ac:dyDescent="0.25">
      <c r="A2">
        <v>11741</v>
      </c>
    </row>
    <row r="3" spans="1:1" x14ac:dyDescent="0.25">
      <c r="A3">
        <v>11744</v>
      </c>
    </row>
    <row r="4" spans="1:1" x14ac:dyDescent="0.25">
      <c r="A4">
        <v>11751</v>
      </c>
    </row>
    <row r="5" spans="1:1" x14ac:dyDescent="0.25">
      <c r="A5">
        <v>11752</v>
      </c>
    </row>
    <row r="6" spans="1:1" x14ac:dyDescent="0.25">
      <c r="A6">
        <v>11755</v>
      </c>
    </row>
    <row r="7" spans="1:1" x14ac:dyDescent="0.25">
      <c r="A7">
        <v>11763</v>
      </c>
    </row>
    <row r="8" spans="1:1" x14ac:dyDescent="0.25">
      <c r="A8">
        <v>11776</v>
      </c>
    </row>
    <row r="9" spans="1:1" x14ac:dyDescent="0.25">
      <c r="A9">
        <v>11818</v>
      </c>
    </row>
    <row r="10" spans="1:1" x14ac:dyDescent="0.25">
      <c r="A10">
        <v>11835</v>
      </c>
    </row>
    <row r="11" spans="1:1" x14ac:dyDescent="0.25">
      <c r="A11">
        <v>11849</v>
      </c>
    </row>
    <row r="12" spans="1:1" x14ac:dyDescent="0.25">
      <c r="A12">
        <v>11903</v>
      </c>
    </row>
    <row r="13" spans="1:1" x14ac:dyDescent="0.25">
      <c r="A13">
        <v>11914</v>
      </c>
    </row>
    <row r="14" spans="1:1" x14ac:dyDescent="0.25">
      <c r="A14">
        <v>11075</v>
      </c>
    </row>
    <row r="15" spans="1:1" x14ac:dyDescent="0.25">
      <c r="A15">
        <v>11169</v>
      </c>
    </row>
    <row r="16" spans="1:1" x14ac:dyDescent="0.25">
      <c r="A16">
        <v>11196</v>
      </c>
    </row>
    <row r="17" spans="1:1" x14ac:dyDescent="0.25">
      <c r="A17">
        <v>11215</v>
      </c>
    </row>
    <row r="18" spans="1:1" x14ac:dyDescent="0.25">
      <c r="A18">
        <v>11259</v>
      </c>
    </row>
    <row r="19" spans="1:1" x14ac:dyDescent="0.25">
      <c r="A19">
        <v>11424</v>
      </c>
    </row>
    <row r="20" spans="1:1" x14ac:dyDescent="0.25">
      <c r="A20">
        <v>11442</v>
      </c>
    </row>
    <row r="21" spans="1:1" x14ac:dyDescent="0.25">
      <c r="A21">
        <v>11476</v>
      </c>
    </row>
    <row r="22" spans="1:1" x14ac:dyDescent="0.25">
      <c r="A22">
        <v>11566</v>
      </c>
    </row>
    <row r="23" spans="1:1" x14ac:dyDescent="0.25">
      <c r="A23">
        <v>11631</v>
      </c>
    </row>
    <row r="24" spans="1:1" x14ac:dyDescent="0.25">
      <c r="A24">
        <v>11869</v>
      </c>
    </row>
    <row r="25" spans="1:1" x14ac:dyDescent="0.25">
      <c r="A25">
        <v>11001</v>
      </c>
    </row>
    <row r="26" spans="1:1" x14ac:dyDescent="0.25">
      <c r="A26">
        <v>11003</v>
      </c>
    </row>
    <row r="27" spans="1:1" x14ac:dyDescent="0.25">
      <c r="A27">
        <v>11011</v>
      </c>
    </row>
    <row r="28" spans="1:1" x14ac:dyDescent="0.25">
      <c r="A28">
        <v>11068</v>
      </c>
    </row>
    <row r="29" spans="1:1" x14ac:dyDescent="0.25">
      <c r="A29">
        <v>11071</v>
      </c>
    </row>
    <row r="30" spans="1:1" x14ac:dyDescent="0.25">
      <c r="A30">
        <v>11165</v>
      </c>
    </row>
    <row r="31" spans="1:1" x14ac:dyDescent="0.25">
      <c r="A31">
        <v>11209</v>
      </c>
    </row>
    <row r="32" spans="1:1" x14ac:dyDescent="0.25">
      <c r="A32">
        <v>11475</v>
      </c>
    </row>
    <row r="33" spans="1:1" x14ac:dyDescent="0.25">
      <c r="A33">
        <v>11625</v>
      </c>
    </row>
    <row r="34" spans="1:1" x14ac:dyDescent="0.25">
      <c r="A34">
        <v>11949</v>
      </c>
    </row>
    <row r="35" spans="1:1" x14ac:dyDescent="0.25">
      <c r="A35">
        <v>11132</v>
      </c>
    </row>
    <row r="36" spans="1:1" x14ac:dyDescent="0.25">
      <c r="A36">
        <v>11141</v>
      </c>
    </row>
    <row r="37" spans="1:1" x14ac:dyDescent="0.25">
      <c r="A37">
        <v>11159</v>
      </c>
    </row>
    <row r="38" spans="1:1" x14ac:dyDescent="0.25">
      <c r="A38">
        <v>11200</v>
      </c>
    </row>
    <row r="39" spans="1:1" x14ac:dyDescent="0.25">
      <c r="A39">
        <v>11207</v>
      </c>
    </row>
    <row r="40" spans="1:1" x14ac:dyDescent="0.25">
      <c r="A40">
        <v>11211</v>
      </c>
    </row>
    <row r="41" spans="1:1" x14ac:dyDescent="0.25">
      <c r="A41">
        <v>11250</v>
      </c>
    </row>
    <row r="42" spans="1:1" x14ac:dyDescent="0.25">
      <c r="A42">
        <v>11289</v>
      </c>
    </row>
    <row r="43" spans="1:1" x14ac:dyDescent="0.25">
      <c r="A43">
        <v>11480</v>
      </c>
    </row>
    <row r="44" spans="1:1" x14ac:dyDescent="0.25">
      <c r="A44">
        <v>11554</v>
      </c>
    </row>
    <row r="45" spans="1:1" x14ac:dyDescent="0.25">
      <c r="A45">
        <v>12349</v>
      </c>
    </row>
    <row r="46" spans="1:1" x14ac:dyDescent="0.25">
      <c r="A46">
        <v>11120</v>
      </c>
    </row>
    <row r="47" spans="1:1" x14ac:dyDescent="0.25">
      <c r="A47">
        <v>11155</v>
      </c>
    </row>
    <row r="48" spans="1:1" x14ac:dyDescent="0.25">
      <c r="A48">
        <v>11440</v>
      </c>
    </row>
    <row r="49" spans="1:1" x14ac:dyDescent="0.25">
      <c r="A49">
        <v>11560</v>
      </c>
    </row>
    <row r="50" spans="1:1" x14ac:dyDescent="0.25">
      <c r="A50">
        <v>11881</v>
      </c>
    </row>
    <row r="51" spans="1:1" x14ac:dyDescent="0.25">
      <c r="A51">
        <v>11928</v>
      </c>
    </row>
    <row r="52" spans="1:1" x14ac:dyDescent="0.25">
      <c r="A52">
        <v>11940</v>
      </c>
    </row>
    <row r="53" spans="1:1" x14ac:dyDescent="0.25">
      <c r="A53">
        <v>12311</v>
      </c>
    </row>
    <row r="54" spans="1:1" x14ac:dyDescent="0.25">
      <c r="A54">
        <v>11017</v>
      </c>
    </row>
    <row r="55" spans="1:1" x14ac:dyDescent="0.25">
      <c r="A55">
        <v>11018</v>
      </c>
    </row>
    <row r="56" spans="1:1" x14ac:dyDescent="0.25">
      <c r="A56">
        <v>11024</v>
      </c>
    </row>
    <row r="57" spans="1:1" x14ac:dyDescent="0.25">
      <c r="A57">
        <v>11057</v>
      </c>
    </row>
    <row r="58" spans="1:1" x14ac:dyDescent="0.25">
      <c r="A58">
        <v>11153</v>
      </c>
    </row>
    <row r="59" spans="1:1" x14ac:dyDescent="0.25">
      <c r="A59">
        <v>11206</v>
      </c>
    </row>
    <row r="60" spans="1:1" x14ac:dyDescent="0.25">
      <c r="A60">
        <v>11564</v>
      </c>
    </row>
    <row r="61" spans="1:1" x14ac:dyDescent="0.25">
      <c r="A61">
        <v>11626</v>
      </c>
    </row>
    <row r="62" spans="1:1" x14ac:dyDescent="0.25">
      <c r="A62">
        <v>12303</v>
      </c>
    </row>
    <row r="63" spans="1:1" x14ac:dyDescent="0.25">
      <c r="A63">
        <v>12340</v>
      </c>
    </row>
    <row r="64" spans="1:1" x14ac:dyDescent="0.25">
      <c r="A64">
        <v>12347</v>
      </c>
    </row>
    <row r="65" spans="1:1" x14ac:dyDescent="0.25">
      <c r="A65">
        <v>11055</v>
      </c>
    </row>
    <row r="66" spans="1:1" x14ac:dyDescent="0.25">
      <c r="A66">
        <v>11058</v>
      </c>
    </row>
    <row r="67" spans="1:1" x14ac:dyDescent="0.25">
      <c r="A67">
        <v>11089</v>
      </c>
    </row>
    <row r="68" spans="1:1" x14ac:dyDescent="0.25">
      <c r="A68">
        <v>11096</v>
      </c>
    </row>
    <row r="69" spans="1:1" x14ac:dyDescent="0.25">
      <c r="A69">
        <v>11210</v>
      </c>
    </row>
    <row r="70" spans="1:1" x14ac:dyDescent="0.25">
      <c r="A70">
        <v>11219</v>
      </c>
    </row>
    <row r="71" spans="1:1" x14ac:dyDescent="0.25">
      <c r="A71">
        <v>11290</v>
      </c>
    </row>
    <row r="72" spans="1:1" x14ac:dyDescent="0.25">
      <c r="A72">
        <v>11580</v>
      </c>
    </row>
    <row r="73" spans="1:1" x14ac:dyDescent="0.25">
      <c r="A73">
        <v>11892</v>
      </c>
    </row>
    <row r="74" spans="1:1" x14ac:dyDescent="0.25">
      <c r="A74">
        <v>12308</v>
      </c>
    </row>
    <row r="75" spans="1:1" x14ac:dyDescent="0.25">
      <c r="A75">
        <v>12341</v>
      </c>
    </row>
    <row r="76" spans="1:1" x14ac:dyDescent="0.25">
      <c r="A76">
        <v>11012</v>
      </c>
    </row>
    <row r="77" spans="1:1" x14ac:dyDescent="0.25">
      <c r="A77">
        <v>11106</v>
      </c>
    </row>
    <row r="78" spans="1:1" x14ac:dyDescent="0.25">
      <c r="A78">
        <v>11143</v>
      </c>
    </row>
    <row r="79" spans="1:1" x14ac:dyDescent="0.25">
      <c r="A79">
        <v>11173</v>
      </c>
    </row>
    <row r="80" spans="1:1" x14ac:dyDescent="0.25">
      <c r="A80">
        <v>11243</v>
      </c>
    </row>
    <row r="81" spans="1:1" x14ac:dyDescent="0.25">
      <c r="A81">
        <v>11345</v>
      </c>
    </row>
    <row r="82" spans="1:1" x14ac:dyDescent="0.25">
      <c r="A82">
        <v>11844</v>
      </c>
    </row>
    <row r="83" spans="1:1" x14ac:dyDescent="0.25">
      <c r="A83">
        <v>11871</v>
      </c>
    </row>
    <row r="84" spans="1:1" x14ac:dyDescent="0.25">
      <c r="A84">
        <v>11891</v>
      </c>
    </row>
    <row r="85" spans="1:1" x14ac:dyDescent="0.25">
      <c r="A85">
        <v>11939</v>
      </c>
    </row>
    <row r="86" spans="1:1" x14ac:dyDescent="0.25">
      <c r="A86">
        <v>12321</v>
      </c>
    </row>
    <row r="87" spans="1:1" x14ac:dyDescent="0.25">
      <c r="A87">
        <v>11154</v>
      </c>
    </row>
    <row r="88" spans="1:1" x14ac:dyDescent="0.25">
      <c r="A88">
        <v>11164</v>
      </c>
    </row>
    <row r="89" spans="1:1" x14ac:dyDescent="0.25">
      <c r="A89">
        <v>11193</v>
      </c>
    </row>
    <row r="90" spans="1:1" x14ac:dyDescent="0.25">
      <c r="A90">
        <v>11242</v>
      </c>
    </row>
    <row r="91" spans="1:1" x14ac:dyDescent="0.25">
      <c r="A91">
        <v>11306</v>
      </c>
    </row>
    <row r="92" spans="1:1" x14ac:dyDescent="0.25">
      <c r="A92">
        <v>11477</v>
      </c>
    </row>
    <row r="93" spans="1:1" x14ac:dyDescent="0.25">
      <c r="A93">
        <v>11548</v>
      </c>
    </row>
    <row r="94" spans="1:1" x14ac:dyDescent="0.25">
      <c r="A94">
        <v>12342</v>
      </c>
    </row>
    <row r="95" spans="1:1" x14ac:dyDescent="0.25">
      <c r="A95">
        <v>11087</v>
      </c>
    </row>
    <row r="96" spans="1:1" x14ac:dyDescent="0.25">
      <c r="A96">
        <v>11168</v>
      </c>
    </row>
    <row r="97" spans="1:1" x14ac:dyDescent="0.25">
      <c r="A97">
        <v>11184</v>
      </c>
    </row>
    <row r="98" spans="1:1" x14ac:dyDescent="0.25">
      <c r="A98">
        <v>11190</v>
      </c>
    </row>
    <row r="99" spans="1:1" x14ac:dyDescent="0.25">
      <c r="A99">
        <v>11239</v>
      </c>
    </row>
    <row r="100" spans="1:1" x14ac:dyDescent="0.25">
      <c r="A100">
        <v>11257</v>
      </c>
    </row>
    <row r="101" spans="1:1" x14ac:dyDescent="0.25">
      <c r="A101">
        <v>11314</v>
      </c>
    </row>
    <row r="102" spans="1:1" x14ac:dyDescent="0.25">
      <c r="A102">
        <v>11449</v>
      </c>
    </row>
    <row r="103" spans="1:1" x14ac:dyDescent="0.25">
      <c r="A103">
        <v>11461</v>
      </c>
    </row>
    <row r="104" spans="1:1" x14ac:dyDescent="0.25">
      <c r="A104">
        <v>11555</v>
      </c>
    </row>
    <row r="105" spans="1:1" x14ac:dyDescent="0.25">
      <c r="A105">
        <v>11778</v>
      </c>
    </row>
    <row r="106" spans="1:1" x14ac:dyDescent="0.25">
      <c r="A106">
        <v>12344</v>
      </c>
    </row>
    <row r="107" spans="1:1" x14ac:dyDescent="0.25">
      <c r="A107">
        <v>11005</v>
      </c>
    </row>
    <row r="108" spans="1:1" x14ac:dyDescent="0.25">
      <c r="A108">
        <v>11044</v>
      </c>
    </row>
    <row r="109" spans="1:1" x14ac:dyDescent="0.25">
      <c r="A109">
        <v>11086</v>
      </c>
    </row>
    <row r="110" spans="1:1" x14ac:dyDescent="0.25">
      <c r="A110">
        <v>11149</v>
      </c>
    </row>
    <row r="111" spans="1:1" x14ac:dyDescent="0.25">
      <c r="A111">
        <v>11161</v>
      </c>
    </row>
    <row r="112" spans="1:1" x14ac:dyDescent="0.25">
      <c r="A112">
        <v>11272</v>
      </c>
    </row>
    <row r="113" spans="1:1" x14ac:dyDescent="0.25">
      <c r="A113">
        <v>11286</v>
      </c>
    </row>
    <row r="114" spans="1:1" x14ac:dyDescent="0.25">
      <c r="A114">
        <v>11506</v>
      </c>
    </row>
    <row r="115" spans="1:1" x14ac:dyDescent="0.25">
      <c r="A115">
        <v>11579</v>
      </c>
    </row>
    <row r="116" spans="1:1" x14ac:dyDescent="0.25">
      <c r="A116">
        <v>11784</v>
      </c>
    </row>
    <row r="117" spans="1:1" x14ac:dyDescent="0.25">
      <c r="A117">
        <v>12318</v>
      </c>
    </row>
    <row r="118" spans="1:1" x14ac:dyDescent="0.25">
      <c r="A118">
        <v>12354</v>
      </c>
    </row>
    <row r="119" spans="1:1" x14ac:dyDescent="0.25">
      <c r="A119">
        <v>11021</v>
      </c>
    </row>
    <row r="120" spans="1:1" x14ac:dyDescent="0.25">
      <c r="A120">
        <v>11029</v>
      </c>
    </row>
    <row r="121" spans="1:1" x14ac:dyDescent="0.25">
      <c r="A121">
        <v>11172</v>
      </c>
    </row>
    <row r="122" spans="1:1" x14ac:dyDescent="0.25">
      <c r="A122">
        <v>11335</v>
      </c>
    </row>
    <row r="123" spans="1:1" x14ac:dyDescent="0.25">
      <c r="A123">
        <v>11447</v>
      </c>
    </row>
    <row r="124" spans="1:1" x14ac:dyDescent="0.25">
      <c r="A124">
        <v>11530</v>
      </c>
    </row>
    <row r="125" spans="1:1" x14ac:dyDescent="0.25">
      <c r="A125">
        <v>11565</v>
      </c>
    </row>
    <row r="126" spans="1:1" x14ac:dyDescent="0.25">
      <c r="A126">
        <v>11622</v>
      </c>
    </row>
    <row r="127" spans="1:1" x14ac:dyDescent="0.25">
      <c r="A127">
        <v>12365</v>
      </c>
    </row>
    <row r="128" spans="1:1" x14ac:dyDescent="0.25">
      <c r="A128">
        <v>12365</v>
      </c>
    </row>
    <row r="129" spans="1:1" x14ac:dyDescent="0.25">
      <c r="A129">
        <v>11062</v>
      </c>
    </row>
    <row r="130" spans="1:1" x14ac:dyDescent="0.25">
      <c r="A130">
        <v>11098</v>
      </c>
    </row>
    <row r="131" spans="1:1" x14ac:dyDescent="0.25">
      <c r="A131">
        <v>11140</v>
      </c>
    </row>
    <row r="132" spans="1:1" x14ac:dyDescent="0.25">
      <c r="A132">
        <v>11174</v>
      </c>
    </row>
    <row r="133" spans="1:1" x14ac:dyDescent="0.25">
      <c r="A133">
        <v>11199</v>
      </c>
    </row>
    <row r="134" spans="1:1" x14ac:dyDescent="0.25">
      <c r="A134">
        <v>11583</v>
      </c>
    </row>
    <row r="135" spans="1:1" x14ac:dyDescent="0.25">
      <c r="A135">
        <v>11743</v>
      </c>
    </row>
    <row r="136" spans="1:1" x14ac:dyDescent="0.25">
      <c r="A136">
        <v>11828</v>
      </c>
    </row>
    <row r="137" spans="1:1" x14ac:dyDescent="0.25">
      <c r="A137">
        <v>11944</v>
      </c>
    </row>
    <row r="138" spans="1:1" x14ac:dyDescent="0.25">
      <c r="A138">
        <v>12300</v>
      </c>
    </row>
    <row r="139" spans="1:1" x14ac:dyDescent="0.25">
      <c r="A139">
        <v>11013</v>
      </c>
    </row>
    <row r="140" spans="1:1" x14ac:dyDescent="0.25">
      <c r="A140">
        <v>11026</v>
      </c>
    </row>
    <row r="141" spans="1:1" x14ac:dyDescent="0.25">
      <c r="A141">
        <v>11036</v>
      </c>
    </row>
    <row r="142" spans="1:1" x14ac:dyDescent="0.25">
      <c r="A142">
        <v>11197</v>
      </c>
    </row>
    <row r="143" spans="1:1" x14ac:dyDescent="0.25">
      <c r="A143">
        <v>11339</v>
      </c>
    </row>
    <row r="144" spans="1:1" x14ac:dyDescent="0.25">
      <c r="A144">
        <v>11578</v>
      </c>
    </row>
    <row r="145" spans="1:1" x14ac:dyDescent="0.25">
      <c r="A145">
        <v>11634</v>
      </c>
    </row>
    <row r="146" spans="1:1" x14ac:dyDescent="0.25">
      <c r="A146">
        <v>11913</v>
      </c>
    </row>
    <row r="147" spans="1:1" x14ac:dyDescent="0.25">
      <c r="A147">
        <v>11977</v>
      </c>
    </row>
    <row r="148" spans="1:1" x14ac:dyDescent="0.25">
      <c r="A148">
        <v>12319</v>
      </c>
    </row>
    <row r="149" spans="1:1" x14ac:dyDescent="0.25">
      <c r="A149">
        <v>11004</v>
      </c>
    </row>
    <row r="150" spans="1:1" x14ac:dyDescent="0.25">
      <c r="A150">
        <v>11022</v>
      </c>
    </row>
    <row r="151" spans="1:1" x14ac:dyDescent="0.25">
      <c r="A151">
        <v>11066</v>
      </c>
    </row>
    <row r="152" spans="1:1" x14ac:dyDescent="0.25">
      <c r="A152">
        <v>11124</v>
      </c>
    </row>
    <row r="153" spans="1:1" x14ac:dyDescent="0.25">
      <c r="A153">
        <v>11126</v>
      </c>
    </row>
    <row r="154" spans="1:1" x14ac:dyDescent="0.25">
      <c r="A154">
        <v>11233</v>
      </c>
    </row>
    <row r="155" spans="1:1" x14ac:dyDescent="0.25">
      <c r="A155">
        <v>11255</v>
      </c>
    </row>
    <row r="156" spans="1:1" x14ac:dyDescent="0.25">
      <c r="A156">
        <v>11264</v>
      </c>
    </row>
    <row r="157" spans="1:1" x14ac:dyDescent="0.25">
      <c r="A157">
        <v>12320</v>
      </c>
    </row>
    <row r="158" spans="1:1" x14ac:dyDescent="0.25">
      <c r="A158">
        <v>11009</v>
      </c>
    </row>
    <row r="159" spans="1:1" x14ac:dyDescent="0.25">
      <c r="A159">
        <v>11056</v>
      </c>
    </row>
    <row r="160" spans="1:1" x14ac:dyDescent="0.25">
      <c r="A160">
        <v>11100</v>
      </c>
    </row>
    <row r="161" spans="1:1" x14ac:dyDescent="0.25">
      <c r="A161">
        <v>11121</v>
      </c>
    </row>
    <row r="162" spans="1:1" x14ac:dyDescent="0.25">
      <c r="A162">
        <v>11148</v>
      </c>
    </row>
    <row r="163" spans="1:1" x14ac:dyDescent="0.25">
      <c r="A163">
        <v>11258</v>
      </c>
    </row>
    <row r="164" spans="1:1" x14ac:dyDescent="0.25">
      <c r="A164">
        <v>11452</v>
      </c>
    </row>
    <row r="165" spans="1:1" x14ac:dyDescent="0.25">
      <c r="A165">
        <v>11470</v>
      </c>
    </row>
    <row r="166" spans="1:1" x14ac:dyDescent="0.25">
      <c r="A166">
        <v>12402</v>
      </c>
    </row>
    <row r="167" spans="1:1" x14ac:dyDescent="0.25">
      <c r="A167">
        <v>11019</v>
      </c>
    </row>
    <row r="168" spans="1:1" x14ac:dyDescent="0.25">
      <c r="A168">
        <v>11061</v>
      </c>
    </row>
    <row r="169" spans="1:1" x14ac:dyDescent="0.25">
      <c r="A169">
        <v>11198</v>
      </c>
    </row>
    <row r="170" spans="1:1" x14ac:dyDescent="0.25">
      <c r="A170">
        <v>11208</v>
      </c>
    </row>
    <row r="171" spans="1:1" x14ac:dyDescent="0.25">
      <c r="A171">
        <v>11307</v>
      </c>
    </row>
    <row r="172" spans="1:1" x14ac:dyDescent="0.25">
      <c r="A172">
        <v>11334</v>
      </c>
    </row>
    <row r="173" spans="1:1" x14ac:dyDescent="0.25">
      <c r="A173">
        <v>11342</v>
      </c>
    </row>
    <row r="174" spans="1:1" x14ac:dyDescent="0.25">
      <c r="A174">
        <v>11382</v>
      </c>
    </row>
    <row r="175" spans="1:1" x14ac:dyDescent="0.25">
      <c r="A175">
        <v>11574</v>
      </c>
    </row>
    <row r="176" spans="1:1" x14ac:dyDescent="0.25">
      <c r="A176">
        <v>11630</v>
      </c>
    </row>
    <row r="177" spans="1:1" x14ac:dyDescent="0.25">
      <c r="A177">
        <v>11865</v>
      </c>
    </row>
    <row r="178" spans="1:1" x14ac:dyDescent="0.25">
      <c r="A178">
        <v>12350</v>
      </c>
    </row>
    <row r="179" spans="1:1" x14ac:dyDescent="0.25">
      <c r="A179">
        <v>11110</v>
      </c>
    </row>
    <row r="180" spans="1:1" x14ac:dyDescent="0.25">
      <c r="A180">
        <v>11223</v>
      </c>
    </row>
    <row r="181" spans="1:1" x14ac:dyDescent="0.25">
      <c r="A181">
        <v>11251</v>
      </c>
    </row>
    <row r="182" spans="1:1" x14ac:dyDescent="0.25">
      <c r="A182">
        <v>11320</v>
      </c>
    </row>
    <row r="183" spans="1:1" x14ac:dyDescent="0.25">
      <c r="A183">
        <v>11419</v>
      </c>
    </row>
    <row r="184" spans="1:1" x14ac:dyDescent="0.25">
      <c r="A184">
        <v>11420</v>
      </c>
    </row>
    <row r="185" spans="1:1" x14ac:dyDescent="0.25">
      <c r="A185">
        <v>11463</v>
      </c>
    </row>
    <row r="186" spans="1:1" x14ac:dyDescent="0.25">
      <c r="A186">
        <v>11601</v>
      </c>
    </row>
    <row r="187" spans="1:1" x14ac:dyDescent="0.25">
      <c r="A187">
        <v>11955</v>
      </c>
    </row>
    <row r="188" spans="1:1" x14ac:dyDescent="0.25">
      <c r="A188">
        <v>11023</v>
      </c>
    </row>
    <row r="189" spans="1:1" x14ac:dyDescent="0.25">
      <c r="A189">
        <v>11037</v>
      </c>
    </row>
    <row r="190" spans="1:1" x14ac:dyDescent="0.25">
      <c r="A190">
        <v>11099</v>
      </c>
    </row>
    <row r="191" spans="1:1" x14ac:dyDescent="0.25">
      <c r="A191">
        <v>11150</v>
      </c>
    </row>
    <row r="192" spans="1:1" x14ac:dyDescent="0.25">
      <c r="A192">
        <v>11225</v>
      </c>
    </row>
    <row r="193" spans="1:1" x14ac:dyDescent="0.25">
      <c r="A193">
        <v>11529</v>
      </c>
    </row>
    <row r="194" spans="1:1" x14ac:dyDescent="0.25">
      <c r="A194">
        <v>11617</v>
      </c>
    </row>
    <row r="195" spans="1:1" x14ac:dyDescent="0.25">
      <c r="A195">
        <v>12343</v>
      </c>
    </row>
    <row r="196" spans="1:1" x14ac:dyDescent="0.25">
      <c r="A196">
        <v>12362</v>
      </c>
    </row>
    <row r="197" spans="1:1" x14ac:dyDescent="0.25">
      <c r="A197">
        <v>11229</v>
      </c>
    </row>
    <row r="198" spans="1:1" x14ac:dyDescent="0.25">
      <c r="A198">
        <v>11260</v>
      </c>
    </row>
    <row r="199" spans="1:1" x14ac:dyDescent="0.25">
      <c r="A199">
        <v>11281</v>
      </c>
    </row>
    <row r="200" spans="1:1" x14ac:dyDescent="0.25">
      <c r="A200">
        <v>11421</v>
      </c>
    </row>
    <row r="201" spans="1:1" x14ac:dyDescent="0.25">
      <c r="A201">
        <v>11525</v>
      </c>
    </row>
    <row r="202" spans="1:1" x14ac:dyDescent="0.25">
      <c r="A202">
        <v>11904</v>
      </c>
    </row>
    <row r="203" spans="1:1" x14ac:dyDescent="0.25">
      <c r="A203">
        <v>11034</v>
      </c>
    </row>
    <row r="204" spans="1:1" x14ac:dyDescent="0.25">
      <c r="A204">
        <v>11041</v>
      </c>
    </row>
    <row r="205" spans="1:1" x14ac:dyDescent="0.25">
      <c r="A205">
        <v>11123</v>
      </c>
    </row>
    <row r="206" spans="1:1" x14ac:dyDescent="0.25">
      <c r="A206">
        <v>11157</v>
      </c>
    </row>
    <row r="207" spans="1:1" x14ac:dyDescent="0.25">
      <c r="A207">
        <v>11185</v>
      </c>
    </row>
    <row r="208" spans="1:1" x14ac:dyDescent="0.25">
      <c r="A208">
        <v>11186</v>
      </c>
    </row>
    <row r="209" spans="1:1" x14ac:dyDescent="0.25">
      <c r="A209">
        <v>11236</v>
      </c>
    </row>
    <row r="210" spans="1:1" x14ac:dyDescent="0.25">
      <c r="A210">
        <v>11310</v>
      </c>
    </row>
    <row r="211" spans="1:1" x14ac:dyDescent="0.25">
      <c r="A211">
        <v>11355</v>
      </c>
    </row>
    <row r="212" spans="1:1" x14ac:dyDescent="0.25">
      <c r="A212">
        <v>11366</v>
      </c>
    </row>
    <row r="213" spans="1:1" x14ac:dyDescent="0.25">
      <c r="A213">
        <v>11380</v>
      </c>
    </row>
    <row r="214" spans="1:1" x14ac:dyDescent="0.25">
      <c r="A214">
        <v>11151</v>
      </c>
    </row>
    <row r="215" spans="1:1" x14ac:dyDescent="0.25">
      <c r="A215">
        <v>11201</v>
      </c>
    </row>
    <row r="216" spans="1:1" x14ac:dyDescent="0.25">
      <c r="A216">
        <v>11567</v>
      </c>
    </row>
    <row r="217" spans="1:1" x14ac:dyDescent="0.25">
      <c r="A217">
        <v>11888</v>
      </c>
    </row>
    <row r="218" spans="1:1" x14ac:dyDescent="0.25">
      <c r="A218">
        <v>11074</v>
      </c>
    </row>
    <row r="219" spans="1:1" x14ac:dyDescent="0.25">
      <c r="A219">
        <v>11231</v>
      </c>
    </row>
    <row r="220" spans="1:1" x14ac:dyDescent="0.25">
      <c r="A220">
        <v>11284</v>
      </c>
    </row>
    <row r="221" spans="1:1" x14ac:dyDescent="0.25">
      <c r="A221">
        <v>11341</v>
      </c>
    </row>
    <row r="222" spans="1:1" x14ac:dyDescent="0.25">
      <c r="A222">
        <v>11422</v>
      </c>
    </row>
    <row r="223" spans="1:1" x14ac:dyDescent="0.25">
      <c r="A223">
        <v>11423</v>
      </c>
    </row>
    <row r="224" spans="1:1" x14ac:dyDescent="0.25">
      <c r="A224">
        <v>11606</v>
      </c>
    </row>
    <row r="225" spans="1:1" x14ac:dyDescent="0.25">
      <c r="A225">
        <v>12309</v>
      </c>
    </row>
    <row r="226" spans="1:1" x14ac:dyDescent="0.25">
      <c r="A226">
        <v>12324</v>
      </c>
    </row>
    <row r="227" spans="1:1" x14ac:dyDescent="0.25">
      <c r="A227">
        <v>11047</v>
      </c>
    </row>
    <row r="228" spans="1:1" x14ac:dyDescent="0.25">
      <c r="A228">
        <v>11213</v>
      </c>
    </row>
    <row r="229" spans="1:1" x14ac:dyDescent="0.25">
      <c r="A229">
        <v>11343</v>
      </c>
    </row>
    <row r="230" spans="1:1" x14ac:dyDescent="0.25">
      <c r="A230">
        <v>11429</v>
      </c>
    </row>
    <row r="231" spans="1:1" x14ac:dyDescent="0.25">
      <c r="A231">
        <v>11563</v>
      </c>
    </row>
    <row r="232" spans="1:1" x14ac:dyDescent="0.25">
      <c r="A232">
        <v>11637</v>
      </c>
    </row>
    <row r="233" spans="1:1" x14ac:dyDescent="0.25">
      <c r="A233">
        <v>11648</v>
      </c>
    </row>
    <row r="234" spans="1:1" x14ac:dyDescent="0.25">
      <c r="A234">
        <v>11834</v>
      </c>
    </row>
    <row r="235" spans="1:1" x14ac:dyDescent="0.25">
      <c r="A235">
        <v>11852</v>
      </c>
    </row>
    <row r="236" spans="1:1" x14ac:dyDescent="0.25">
      <c r="A236">
        <v>12325</v>
      </c>
    </row>
    <row r="237" spans="1:1" x14ac:dyDescent="0.25">
      <c r="A237">
        <v>11170</v>
      </c>
    </row>
    <row r="238" spans="1:1" x14ac:dyDescent="0.25">
      <c r="A238">
        <v>11283</v>
      </c>
    </row>
    <row r="239" spans="1:1" x14ac:dyDescent="0.25">
      <c r="A239">
        <v>11309</v>
      </c>
    </row>
    <row r="240" spans="1:1" x14ac:dyDescent="0.25">
      <c r="A240">
        <v>11316</v>
      </c>
    </row>
    <row r="241" spans="1:1" x14ac:dyDescent="0.25">
      <c r="A241">
        <v>11500</v>
      </c>
    </row>
    <row r="242" spans="1:1" x14ac:dyDescent="0.25">
      <c r="A242">
        <v>11616</v>
      </c>
    </row>
    <row r="243" spans="1:1" x14ac:dyDescent="0.25">
      <c r="A243">
        <v>12335</v>
      </c>
    </row>
    <row r="244" spans="1:1" x14ac:dyDescent="0.25">
      <c r="A244">
        <v>11007</v>
      </c>
    </row>
    <row r="245" spans="1:1" x14ac:dyDescent="0.25">
      <c r="A245">
        <v>11131</v>
      </c>
    </row>
    <row r="246" spans="1:1" x14ac:dyDescent="0.25">
      <c r="A246">
        <v>11271</v>
      </c>
    </row>
    <row r="247" spans="1:1" x14ac:dyDescent="0.25">
      <c r="A247">
        <v>11313</v>
      </c>
    </row>
    <row r="248" spans="1:1" x14ac:dyDescent="0.25">
      <c r="A248">
        <v>11458</v>
      </c>
    </row>
    <row r="249" spans="1:1" x14ac:dyDescent="0.25">
      <c r="A249">
        <v>11526</v>
      </c>
    </row>
    <row r="250" spans="1:1" x14ac:dyDescent="0.25">
      <c r="A250">
        <v>11541</v>
      </c>
    </row>
    <row r="251" spans="1:1" x14ac:dyDescent="0.25">
      <c r="A251">
        <v>11572</v>
      </c>
    </row>
    <row r="252" spans="1:1" x14ac:dyDescent="0.25">
      <c r="A252">
        <v>11238</v>
      </c>
    </row>
    <row r="253" spans="1:1" x14ac:dyDescent="0.25">
      <c r="A253">
        <v>11253</v>
      </c>
    </row>
    <row r="254" spans="1:1" x14ac:dyDescent="0.25">
      <c r="A254">
        <v>11319</v>
      </c>
    </row>
    <row r="255" spans="1:1" x14ac:dyDescent="0.25">
      <c r="A255">
        <v>11389</v>
      </c>
    </row>
    <row r="256" spans="1:1" x14ac:dyDescent="0.25">
      <c r="A256">
        <v>11394</v>
      </c>
    </row>
    <row r="257" spans="1:1" x14ac:dyDescent="0.25">
      <c r="A257">
        <v>11402</v>
      </c>
    </row>
    <row r="258" spans="1:1" x14ac:dyDescent="0.25">
      <c r="A258">
        <v>11481</v>
      </c>
    </row>
    <row r="259" spans="1:1" x14ac:dyDescent="0.25">
      <c r="A259">
        <v>11522</v>
      </c>
    </row>
    <row r="260" spans="1:1" x14ac:dyDescent="0.25">
      <c r="A260">
        <v>11577</v>
      </c>
    </row>
    <row r="261" spans="1:1" x14ac:dyDescent="0.25">
      <c r="A261">
        <v>11959</v>
      </c>
    </row>
    <row r="262" spans="1:1" x14ac:dyDescent="0.25">
      <c r="A262">
        <v>11218</v>
      </c>
    </row>
    <row r="263" spans="1:1" x14ac:dyDescent="0.25">
      <c r="A263">
        <v>11249</v>
      </c>
    </row>
    <row r="264" spans="1:1" x14ac:dyDescent="0.25">
      <c r="A264">
        <v>11297</v>
      </c>
    </row>
    <row r="265" spans="1:1" x14ac:dyDescent="0.25">
      <c r="A265">
        <v>11329</v>
      </c>
    </row>
    <row r="266" spans="1:1" x14ac:dyDescent="0.25">
      <c r="A266">
        <v>11396</v>
      </c>
    </row>
    <row r="267" spans="1:1" x14ac:dyDescent="0.25">
      <c r="A267">
        <v>11537</v>
      </c>
    </row>
    <row r="268" spans="1:1" x14ac:dyDescent="0.25">
      <c r="A268">
        <v>11605</v>
      </c>
    </row>
    <row r="269" spans="1:1" x14ac:dyDescent="0.25">
      <c r="A269">
        <v>12331</v>
      </c>
    </row>
    <row r="270" spans="1:1" x14ac:dyDescent="0.25">
      <c r="A270">
        <v>12332</v>
      </c>
    </row>
    <row r="271" spans="1:1" x14ac:dyDescent="0.25">
      <c r="A271">
        <v>12337</v>
      </c>
    </row>
    <row r="272" spans="1:1" x14ac:dyDescent="0.25">
      <c r="A272">
        <v>11045</v>
      </c>
    </row>
    <row r="273" spans="1:1" x14ac:dyDescent="0.25">
      <c r="A273">
        <v>11105</v>
      </c>
    </row>
    <row r="274" spans="1:1" x14ac:dyDescent="0.25">
      <c r="A274">
        <v>11235</v>
      </c>
    </row>
    <row r="275" spans="1:1" x14ac:dyDescent="0.25">
      <c r="A275">
        <v>11252</v>
      </c>
    </row>
    <row r="276" spans="1:1" x14ac:dyDescent="0.25">
      <c r="A276">
        <v>11301</v>
      </c>
    </row>
    <row r="277" spans="1:1" x14ac:dyDescent="0.25">
      <c r="A277">
        <v>11349</v>
      </c>
    </row>
    <row r="278" spans="1:1" x14ac:dyDescent="0.25">
      <c r="A278">
        <v>11386</v>
      </c>
    </row>
    <row r="279" spans="1:1" x14ac:dyDescent="0.25">
      <c r="A279">
        <v>11398</v>
      </c>
    </row>
    <row r="280" spans="1:1" x14ac:dyDescent="0.25">
      <c r="A280">
        <v>11515</v>
      </c>
    </row>
    <row r="281" spans="1:1" x14ac:dyDescent="0.25">
      <c r="A281">
        <v>11639</v>
      </c>
    </row>
    <row r="282" spans="1:1" x14ac:dyDescent="0.25">
      <c r="A282">
        <v>11031</v>
      </c>
    </row>
    <row r="283" spans="1:1" x14ac:dyDescent="0.25">
      <c r="A283">
        <v>11054</v>
      </c>
    </row>
    <row r="284" spans="1:1" x14ac:dyDescent="0.25">
      <c r="A284">
        <v>11091</v>
      </c>
    </row>
    <row r="285" spans="1:1" x14ac:dyDescent="0.25">
      <c r="A285">
        <v>11275</v>
      </c>
    </row>
    <row r="286" spans="1:1" x14ac:dyDescent="0.25">
      <c r="A286">
        <v>11293</v>
      </c>
    </row>
    <row r="287" spans="1:1" x14ac:dyDescent="0.25">
      <c r="A287">
        <v>11294</v>
      </c>
    </row>
    <row r="288" spans="1:1" x14ac:dyDescent="0.25">
      <c r="A288">
        <v>11305</v>
      </c>
    </row>
    <row r="289" spans="1:1" x14ac:dyDescent="0.25">
      <c r="A289">
        <v>11315</v>
      </c>
    </row>
    <row r="290" spans="1:1" x14ac:dyDescent="0.25">
      <c r="A290">
        <v>11532</v>
      </c>
    </row>
    <row r="291" spans="1:1" x14ac:dyDescent="0.25">
      <c r="A291">
        <v>11602</v>
      </c>
    </row>
    <row r="292" spans="1:1" x14ac:dyDescent="0.25">
      <c r="A292">
        <v>11638</v>
      </c>
    </row>
    <row r="293" spans="1:1" x14ac:dyDescent="0.25">
      <c r="A293">
        <v>11083</v>
      </c>
    </row>
    <row r="294" spans="1:1" x14ac:dyDescent="0.25">
      <c r="A294">
        <v>11136</v>
      </c>
    </row>
    <row r="295" spans="1:1" x14ac:dyDescent="0.25">
      <c r="A295">
        <v>11145</v>
      </c>
    </row>
    <row r="296" spans="1:1" x14ac:dyDescent="0.25">
      <c r="A296">
        <v>11156</v>
      </c>
    </row>
    <row r="297" spans="1:1" x14ac:dyDescent="0.25">
      <c r="A297">
        <v>11244</v>
      </c>
    </row>
    <row r="298" spans="1:1" x14ac:dyDescent="0.25">
      <c r="A298">
        <v>11353</v>
      </c>
    </row>
    <row r="299" spans="1:1" x14ac:dyDescent="0.25">
      <c r="A299">
        <v>11354</v>
      </c>
    </row>
    <row r="300" spans="1:1" x14ac:dyDescent="0.25">
      <c r="A300">
        <v>11897</v>
      </c>
    </row>
    <row r="301" spans="1:1" x14ac:dyDescent="0.25">
      <c r="A301">
        <v>11930</v>
      </c>
    </row>
    <row r="302" spans="1:1" x14ac:dyDescent="0.25">
      <c r="A302">
        <v>11014</v>
      </c>
    </row>
    <row r="303" spans="1:1" x14ac:dyDescent="0.25">
      <c r="A303">
        <v>11090</v>
      </c>
    </row>
    <row r="304" spans="1:1" x14ac:dyDescent="0.25">
      <c r="A304">
        <v>11312</v>
      </c>
    </row>
    <row r="305" spans="1:1" x14ac:dyDescent="0.25">
      <c r="A305">
        <v>11321</v>
      </c>
    </row>
    <row r="306" spans="1:1" x14ac:dyDescent="0.25">
      <c r="A306">
        <v>11469</v>
      </c>
    </row>
    <row r="307" spans="1:1" x14ac:dyDescent="0.25">
      <c r="A307">
        <v>11491</v>
      </c>
    </row>
    <row r="308" spans="1:1" x14ac:dyDescent="0.25">
      <c r="A308">
        <v>11900</v>
      </c>
    </row>
    <row r="309" spans="1:1" x14ac:dyDescent="0.25">
      <c r="A309">
        <v>12355</v>
      </c>
    </row>
    <row r="310" spans="1:1" x14ac:dyDescent="0.25">
      <c r="A310">
        <v>11046</v>
      </c>
    </row>
    <row r="311" spans="1:1" x14ac:dyDescent="0.25">
      <c r="A311">
        <v>11180</v>
      </c>
    </row>
    <row r="312" spans="1:1" x14ac:dyDescent="0.25">
      <c r="A312">
        <v>11460</v>
      </c>
    </row>
    <row r="313" spans="1:1" x14ac:dyDescent="0.25">
      <c r="A313">
        <v>11545</v>
      </c>
    </row>
    <row r="314" spans="1:1" x14ac:dyDescent="0.25">
      <c r="A314">
        <v>11590</v>
      </c>
    </row>
    <row r="315" spans="1:1" x14ac:dyDescent="0.25">
      <c r="A315">
        <v>11635</v>
      </c>
    </row>
    <row r="316" spans="1:1" x14ac:dyDescent="0.25">
      <c r="A316">
        <v>12330</v>
      </c>
    </row>
    <row r="317" spans="1:1" x14ac:dyDescent="0.25">
      <c r="A317">
        <v>11179</v>
      </c>
    </row>
    <row r="318" spans="1:1" x14ac:dyDescent="0.25">
      <c r="A318">
        <v>11302</v>
      </c>
    </row>
    <row r="319" spans="1:1" x14ac:dyDescent="0.25">
      <c r="A319">
        <v>11439</v>
      </c>
    </row>
    <row r="320" spans="1:1" x14ac:dyDescent="0.25">
      <c r="A320">
        <v>11486</v>
      </c>
    </row>
    <row r="321" spans="1:1" x14ac:dyDescent="0.25">
      <c r="A321">
        <v>11615</v>
      </c>
    </row>
    <row r="322" spans="1:1" x14ac:dyDescent="0.25">
      <c r="A322">
        <v>11942</v>
      </c>
    </row>
    <row r="323" spans="1:1" x14ac:dyDescent="0.25">
      <c r="A323">
        <v>12348</v>
      </c>
    </row>
    <row r="324" spans="1:1" x14ac:dyDescent="0.25">
      <c r="A324">
        <v>11008</v>
      </c>
    </row>
    <row r="325" spans="1:1" x14ac:dyDescent="0.25">
      <c r="A325">
        <v>11020</v>
      </c>
    </row>
    <row r="326" spans="1:1" x14ac:dyDescent="0.25">
      <c r="A326">
        <v>11035</v>
      </c>
    </row>
    <row r="327" spans="1:1" x14ac:dyDescent="0.25">
      <c r="A327">
        <v>11195</v>
      </c>
    </row>
    <row r="328" spans="1:1" x14ac:dyDescent="0.25">
      <c r="A328">
        <v>11237</v>
      </c>
    </row>
    <row r="329" spans="1:1" x14ac:dyDescent="0.25">
      <c r="A329">
        <v>11295</v>
      </c>
    </row>
    <row r="330" spans="1:1" x14ac:dyDescent="0.25">
      <c r="A330">
        <v>11558</v>
      </c>
    </row>
    <row r="331" spans="1:1" x14ac:dyDescent="0.25">
      <c r="A331">
        <v>11612</v>
      </c>
    </row>
    <row r="332" spans="1:1" x14ac:dyDescent="0.25">
      <c r="A332">
        <v>11810</v>
      </c>
    </row>
    <row r="333" spans="1:1" x14ac:dyDescent="0.25">
      <c r="A333">
        <v>11854</v>
      </c>
    </row>
    <row r="334" spans="1:1" x14ac:dyDescent="0.25">
      <c r="A334">
        <v>11116</v>
      </c>
    </row>
    <row r="335" spans="1:1" x14ac:dyDescent="0.25">
      <c r="A335">
        <v>11245</v>
      </c>
    </row>
    <row r="336" spans="1:1" x14ac:dyDescent="0.25">
      <c r="A336">
        <v>11292</v>
      </c>
    </row>
    <row r="337" spans="1:1" x14ac:dyDescent="0.25">
      <c r="A337">
        <v>11296</v>
      </c>
    </row>
    <row r="338" spans="1:1" x14ac:dyDescent="0.25">
      <c r="A338">
        <v>11318</v>
      </c>
    </row>
    <row r="339" spans="1:1" x14ac:dyDescent="0.25">
      <c r="A339">
        <v>11359</v>
      </c>
    </row>
    <row r="340" spans="1:1" x14ac:dyDescent="0.25">
      <c r="A340">
        <v>11524</v>
      </c>
    </row>
    <row r="341" spans="1:1" x14ac:dyDescent="0.25">
      <c r="A341">
        <v>11568</v>
      </c>
    </row>
    <row r="342" spans="1:1" x14ac:dyDescent="0.25">
      <c r="A342">
        <v>11570</v>
      </c>
    </row>
    <row r="343" spans="1:1" x14ac:dyDescent="0.25">
      <c r="A343">
        <v>11256</v>
      </c>
    </row>
    <row r="344" spans="1:1" x14ac:dyDescent="0.25">
      <c r="A344">
        <v>11287</v>
      </c>
    </row>
    <row r="345" spans="1:1" x14ac:dyDescent="0.25">
      <c r="A345">
        <v>11371</v>
      </c>
    </row>
    <row r="346" spans="1:1" x14ac:dyDescent="0.25">
      <c r="A346">
        <v>11412</v>
      </c>
    </row>
    <row r="347" spans="1:1" x14ac:dyDescent="0.25">
      <c r="A347">
        <v>11573</v>
      </c>
    </row>
    <row r="348" spans="1:1" x14ac:dyDescent="0.25">
      <c r="A348">
        <v>11030</v>
      </c>
    </row>
    <row r="349" spans="1:1" x14ac:dyDescent="0.25">
      <c r="A349">
        <v>11059</v>
      </c>
    </row>
    <row r="350" spans="1:1" x14ac:dyDescent="0.25">
      <c r="A350">
        <v>11323</v>
      </c>
    </row>
    <row r="351" spans="1:1" x14ac:dyDescent="0.25">
      <c r="A351">
        <v>11333</v>
      </c>
    </row>
    <row r="352" spans="1:1" x14ac:dyDescent="0.25">
      <c r="A352">
        <v>11370</v>
      </c>
    </row>
    <row r="353" spans="1:1" x14ac:dyDescent="0.25">
      <c r="A353">
        <v>11376</v>
      </c>
    </row>
    <row r="354" spans="1:1" x14ac:dyDescent="0.25">
      <c r="A354">
        <v>11381</v>
      </c>
    </row>
    <row r="355" spans="1:1" x14ac:dyDescent="0.25">
      <c r="A355">
        <v>11434</v>
      </c>
    </row>
    <row r="356" spans="1:1" x14ac:dyDescent="0.25">
      <c r="A356">
        <v>11575</v>
      </c>
    </row>
    <row r="357" spans="1:1" x14ac:dyDescent="0.25">
      <c r="A357">
        <v>11864</v>
      </c>
    </row>
    <row r="358" spans="1:1" x14ac:dyDescent="0.25">
      <c r="A358">
        <v>12329</v>
      </c>
    </row>
    <row r="359" spans="1:1" x14ac:dyDescent="0.25">
      <c r="A359">
        <v>11119</v>
      </c>
    </row>
    <row r="360" spans="1:1" x14ac:dyDescent="0.25">
      <c r="A360">
        <v>11216</v>
      </c>
    </row>
    <row r="361" spans="1:1" x14ac:dyDescent="0.25">
      <c r="A361">
        <v>11261</v>
      </c>
    </row>
    <row r="362" spans="1:1" x14ac:dyDescent="0.25">
      <c r="A362">
        <v>11427</v>
      </c>
    </row>
    <row r="363" spans="1:1" x14ac:dyDescent="0.25">
      <c r="A363">
        <v>11466</v>
      </c>
    </row>
    <row r="364" spans="1:1" x14ac:dyDescent="0.25">
      <c r="A364">
        <v>11498</v>
      </c>
    </row>
    <row r="365" spans="1:1" x14ac:dyDescent="0.25">
      <c r="A365">
        <v>11562</v>
      </c>
    </row>
    <row r="366" spans="1:1" x14ac:dyDescent="0.25">
      <c r="A366">
        <v>11646</v>
      </c>
    </row>
    <row r="367" spans="1:1" x14ac:dyDescent="0.25">
      <c r="A367">
        <v>11798</v>
      </c>
    </row>
    <row r="368" spans="1:1" x14ac:dyDescent="0.25">
      <c r="A368">
        <v>11875</v>
      </c>
    </row>
    <row r="369" spans="1:1" x14ac:dyDescent="0.25">
      <c r="A369">
        <v>11160</v>
      </c>
    </row>
    <row r="370" spans="1:1" x14ac:dyDescent="0.25">
      <c r="A370">
        <v>11177</v>
      </c>
    </row>
    <row r="371" spans="1:1" x14ac:dyDescent="0.25">
      <c r="A371">
        <v>11191</v>
      </c>
    </row>
    <row r="372" spans="1:1" x14ac:dyDescent="0.25">
      <c r="A372">
        <v>11285</v>
      </c>
    </row>
    <row r="373" spans="1:1" x14ac:dyDescent="0.25">
      <c r="A373">
        <v>11324</v>
      </c>
    </row>
    <row r="374" spans="1:1" x14ac:dyDescent="0.25">
      <c r="A374">
        <v>11337</v>
      </c>
    </row>
    <row r="375" spans="1:1" x14ac:dyDescent="0.25">
      <c r="A375">
        <v>11430</v>
      </c>
    </row>
    <row r="376" spans="1:1" x14ac:dyDescent="0.25">
      <c r="A376">
        <v>11459</v>
      </c>
    </row>
    <row r="377" spans="1:1" x14ac:dyDescent="0.25">
      <c r="A377">
        <v>11599</v>
      </c>
    </row>
    <row r="378" spans="1:1" x14ac:dyDescent="0.25">
      <c r="A378">
        <v>11620</v>
      </c>
    </row>
    <row r="379" spans="1:1" x14ac:dyDescent="0.25">
      <c r="A379">
        <v>12301</v>
      </c>
    </row>
    <row r="380" spans="1:1" x14ac:dyDescent="0.25">
      <c r="A380">
        <v>11109</v>
      </c>
    </row>
    <row r="381" spans="1:1" x14ac:dyDescent="0.25">
      <c r="A381">
        <v>11205</v>
      </c>
    </row>
    <row r="382" spans="1:1" x14ac:dyDescent="0.25">
      <c r="A382">
        <v>11226</v>
      </c>
    </row>
    <row r="383" spans="1:1" x14ac:dyDescent="0.25">
      <c r="A383">
        <v>11232</v>
      </c>
    </row>
    <row r="384" spans="1:1" x14ac:dyDescent="0.25">
      <c r="A384">
        <v>11331</v>
      </c>
    </row>
    <row r="385" spans="1:1" x14ac:dyDescent="0.25">
      <c r="A385">
        <v>11479</v>
      </c>
    </row>
    <row r="386" spans="1:1" x14ac:dyDescent="0.25">
      <c r="A386">
        <v>11621</v>
      </c>
    </row>
    <row r="387" spans="1:1" x14ac:dyDescent="0.25">
      <c r="A387">
        <v>11831</v>
      </c>
    </row>
    <row r="388" spans="1:1" x14ac:dyDescent="0.25">
      <c r="A388">
        <v>11861</v>
      </c>
    </row>
    <row r="389" spans="1:1" x14ac:dyDescent="0.25">
      <c r="A389">
        <v>11040</v>
      </c>
    </row>
    <row r="390" spans="1:1" x14ac:dyDescent="0.25">
      <c r="A390">
        <v>11176</v>
      </c>
    </row>
    <row r="391" spans="1:1" x14ac:dyDescent="0.25">
      <c r="A391">
        <v>11262</v>
      </c>
    </row>
    <row r="392" spans="1:1" x14ac:dyDescent="0.25">
      <c r="A392">
        <v>11351</v>
      </c>
    </row>
    <row r="393" spans="1:1" x14ac:dyDescent="0.25">
      <c r="A393">
        <v>11425</v>
      </c>
    </row>
    <row r="394" spans="1:1" x14ac:dyDescent="0.25">
      <c r="A394">
        <v>11489</v>
      </c>
    </row>
    <row r="395" spans="1:1" x14ac:dyDescent="0.25">
      <c r="A395">
        <v>11536</v>
      </c>
    </row>
    <row r="396" spans="1:1" x14ac:dyDescent="0.25">
      <c r="A396">
        <v>11845</v>
      </c>
    </row>
    <row r="397" spans="1:1" x14ac:dyDescent="0.25">
      <c r="A397">
        <v>11898</v>
      </c>
    </row>
    <row r="398" spans="1:1" x14ac:dyDescent="0.25">
      <c r="A398">
        <v>11092</v>
      </c>
    </row>
    <row r="399" spans="1:1" x14ac:dyDescent="0.25">
      <c r="A399">
        <v>11112</v>
      </c>
    </row>
    <row r="400" spans="1:1" x14ac:dyDescent="0.25">
      <c r="A400">
        <v>11325</v>
      </c>
    </row>
    <row r="401" spans="1:1" x14ac:dyDescent="0.25">
      <c r="A401">
        <v>11332</v>
      </c>
    </row>
    <row r="402" spans="1:1" x14ac:dyDescent="0.25">
      <c r="A402">
        <v>11451</v>
      </c>
    </row>
    <row r="403" spans="1:1" x14ac:dyDescent="0.25">
      <c r="A403">
        <v>11517</v>
      </c>
    </row>
    <row r="404" spans="1:1" x14ac:dyDescent="0.25">
      <c r="A404">
        <v>11640</v>
      </c>
    </row>
    <row r="405" spans="1:1" x14ac:dyDescent="0.25">
      <c r="A405">
        <v>11883</v>
      </c>
    </row>
    <row r="406" spans="1:1" x14ac:dyDescent="0.25">
      <c r="A406">
        <v>11956</v>
      </c>
    </row>
    <row r="407" spans="1:1" x14ac:dyDescent="0.25">
      <c r="A407">
        <v>11989</v>
      </c>
    </row>
    <row r="408" spans="1:1" x14ac:dyDescent="0.25">
      <c r="A408">
        <v>12336</v>
      </c>
    </row>
    <row r="409" spans="1:1" x14ac:dyDescent="0.25">
      <c r="A409">
        <v>12345</v>
      </c>
    </row>
    <row r="410" spans="1:1" x14ac:dyDescent="0.25">
      <c r="A410">
        <v>11039</v>
      </c>
    </row>
    <row r="411" spans="1:1" x14ac:dyDescent="0.25">
      <c r="A411">
        <v>11065</v>
      </c>
    </row>
    <row r="412" spans="1:1" x14ac:dyDescent="0.25">
      <c r="A412">
        <v>11128</v>
      </c>
    </row>
    <row r="413" spans="1:1" x14ac:dyDescent="0.25">
      <c r="A413">
        <v>11327</v>
      </c>
    </row>
    <row r="414" spans="1:1" x14ac:dyDescent="0.25">
      <c r="A414">
        <v>11336</v>
      </c>
    </row>
    <row r="415" spans="1:1" x14ac:dyDescent="0.25">
      <c r="A415">
        <v>11411</v>
      </c>
    </row>
    <row r="416" spans="1:1" x14ac:dyDescent="0.25">
      <c r="A416">
        <v>11582</v>
      </c>
    </row>
    <row r="417" spans="1:1" x14ac:dyDescent="0.25">
      <c r="A417">
        <v>11604</v>
      </c>
    </row>
    <row r="418" spans="1:1" x14ac:dyDescent="0.25">
      <c r="A418">
        <v>11817</v>
      </c>
    </row>
    <row r="419" spans="1:1" x14ac:dyDescent="0.25">
      <c r="A419">
        <v>11856</v>
      </c>
    </row>
    <row r="420" spans="1:1" x14ac:dyDescent="0.25">
      <c r="A420">
        <v>12346</v>
      </c>
    </row>
    <row r="421" spans="1:1" x14ac:dyDescent="0.25">
      <c r="A421">
        <v>11147</v>
      </c>
    </row>
    <row r="422" spans="1:1" x14ac:dyDescent="0.25">
      <c r="A422">
        <v>11158</v>
      </c>
    </row>
    <row r="423" spans="1:1" x14ac:dyDescent="0.25">
      <c r="A423">
        <v>11303</v>
      </c>
    </row>
    <row r="424" spans="1:1" x14ac:dyDescent="0.25">
      <c r="A424">
        <v>11304</v>
      </c>
    </row>
    <row r="425" spans="1:1" x14ac:dyDescent="0.25">
      <c r="A425">
        <v>11462</v>
      </c>
    </row>
    <row r="426" spans="1:1" x14ac:dyDescent="0.25">
      <c r="A426">
        <v>11523</v>
      </c>
    </row>
    <row r="427" spans="1:1" x14ac:dyDescent="0.25">
      <c r="A427">
        <v>11935</v>
      </c>
    </row>
    <row r="428" spans="1:1" x14ac:dyDescent="0.25">
      <c r="A428">
        <v>11002</v>
      </c>
    </row>
    <row r="429" spans="1:1" x14ac:dyDescent="0.25">
      <c r="A429">
        <v>11175</v>
      </c>
    </row>
    <row r="430" spans="1:1" x14ac:dyDescent="0.25">
      <c r="A430">
        <v>11221</v>
      </c>
    </row>
    <row r="431" spans="1:1" x14ac:dyDescent="0.25">
      <c r="A431">
        <v>11247</v>
      </c>
    </row>
    <row r="432" spans="1:1" x14ac:dyDescent="0.25">
      <c r="A432">
        <v>11432</v>
      </c>
    </row>
    <row r="433" spans="1:1" x14ac:dyDescent="0.25">
      <c r="A433">
        <v>11457</v>
      </c>
    </row>
    <row r="434" spans="1:1" x14ac:dyDescent="0.25">
      <c r="A434">
        <v>11473</v>
      </c>
    </row>
    <row r="435" spans="1:1" x14ac:dyDescent="0.25">
      <c r="A435">
        <v>11482</v>
      </c>
    </row>
    <row r="436" spans="1:1" x14ac:dyDescent="0.25">
      <c r="A436">
        <v>11511</v>
      </c>
    </row>
    <row r="437" spans="1:1" x14ac:dyDescent="0.25">
      <c r="A437">
        <v>11519</v>
      </c>
    </row>
    <row r="438" spans="1:1" x14ac:dyDescent="0.25">
      <c r="A438">
        <v>11619</v>
      </c>
    </row>
    <row r="439" spans="1:1" x14ac:dyDescent="0.25">
      <c r="A439">
        <v>12323</v>
      </c>
    </row>
    <row r="440" spans="1:1" x14ac:dyDescent="0.25">
      <c r="A440">
        <v>12333</v>
      </c>
    </row>
    <row r="441" spans="1:1" x14ac:dyDescent="0.25">
      <c r="A441">
        <v>11084</v>
      </c>
    </row>
    <row r="442" spans="1:1" x14ac:dyDescent="0.25">
      <c r="A442">
        <v>11122</v>
      </c>
    </row>
    <row r="443" spans="1:1" x14ac:dyDescent="0.25">
      <c r="A443">
        <v>11202</v>
      </c>
    </row>
    <row r="444" spans="1:1" x14ac:dyDescent="0.25">
      <c r="A444">
        <v>11350</v>
      </c>
    </row>
    <row r="445" spans="1:1" x14ac:dyDescent="0.25">
      <c r="A445">
        <v>11368</v>
      </c>
    </row>
    <row r="446" spans="1:1" x14ac:dyDescent="0.25">
      <c r="A446">
        <v>11464</v>
      </c>
    </row>
    <row r="447" spans="1:1" x14ac:dyDescent="0.25">
      <c r="A447">
        <v>11465</v>
      </c>
    </row>
    <row r="448" spans="1:1" x14ac:dyDescent="0.25">
      <c r="A448">
        <v>11474</v>
      </c>
    </row>
    <row r="449" spans="1:1" x14ac:dyDescent="0.25">
      <c r="A449">
        <v>12334</v>
      </c>
    </row>
    <row r="450" spans="1:1" x14ac:dyDescent="0.25">
      <c r="A450">
        <v>11006</v>
      </c>
    </row>
    <row r="451" spans="1:1" x14ac:dyDescent="0.25">
      <c r="A451">
        <v>11069</v>
      </c>
    </row>
    <row r="452" spans="1:1" x14ac:dyDescent="0.25">
      <c r="A452">
        <v>11212</v>
      </c>
    </row>
    <row r="453" spans="1:1" x14ac:dyDescent="0.25">
      <c r="A453">
        <v>11328</v>
      </c>
    </row>
    <row r="454" spans="1:1" x14ac:dyDescent="0.25">
      <c r="A454">
        <v>11455</v>
      </c>
    </row>
    <row r="455" spans="1:1" x14ac:dyDescent="0.25">
      <c r="A455">
        <v>11471</v>
      </c>
    </row>
    <row r="456" spans="1:1" x14ac:dyDescent="0.25">
      <c r="A456">
        <v>11518</v>
      </c>
    </row>
    <row r="457" spans="1:1" x14ac:dyDescent="0.25">
      <c r="A457">
        <v>11603</v>
      </c>
    </row>
    <row r="458" spans="1:1" x14ac:dyDescent="0.25">
      <c r="A458">
        <v>11645</v>
      </c>
    </row>
    <row r="459" spans="1:1" x14ac:dyDescent="0.25">
      <c r="A459">
        <v>11647</v>
      </c>
    </row>
    <row r="460" spans="1:1" x14ac:dyDescent="0.25">
      <c r="A460">
        <v>11770</v>
      </c>
    </row>
    <row r="461" spans="1:1" x14ac:dyDescent="0.25">
      <c r="A461">
        <v>12310</v>
      </c>
    </row>
    <row r="462" spans="1:1" x14ac:dyDescent="0.25">
      <c r="A462">
        <v>12353</v>
      </c>
    </row>
    <row r="463" spans="1:1" x14ac:dyDescent="0.25">
      <c r="A463">
        <v>11032</v>
      </c>
    </row>
    <row r="464" spans="1:1" x14ac:dyDescent="0.25">
      <c r="A464">
        <v>11224</v>
      </c>
    </row>
    <row r="465" spans="1:1" x14ac:dyDescent="0.25">
      <c r="A465">
        <v>11326</v>
      </c>
    </row>
    <row r="466" spans="1:1" x14ac:dyDescent="0.25">
      <c r="A466">
        <v>11367</v>
      </c>
    </row>
    <row r="467" spans="1:1" x14ac:dyDescent="0.25">
      <c r="A467">
        <v>11436</v>
      </c>
    </row>
    <row r="468" spans="1:1" x14ac:dyDescent="0.25">
      <c r="A468">
        <v>11557</v>
      </c>
    </row>
    <row r="469" spans="1:1" x14ac:dyDescent="0.25">
      <c r="A469">
        <v>11618</v>
      </c>
    </row>
    <row r="470" spans="1:1" x14ac:dyDescent="0.25">
      <c r="A470">
        <v>12338</v>
      </c>
    </row>
    <row r="471" spans="1:1" x14ac:dyDescent="0.25">
      <c r="A471">
        <v>12351</v>
      </c>
    </row>
    <row r="472" spans="1:1" x14ac:dyDescent="0.25">
      <c r="A472">
        <v>10000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4"/>
  <sheetViews>
    <sheetView workbookViewId="0">
      <selection activeCell="C18" sqref="C18"/>
    </sheetView>
  </sheetViews>
  <sheetFormatPr baseColWidth="10" defaultRowHeight="15" x14ac:dyDescent="0.25"/>
  <cols>
    <col min="2" max="2" width="14" bestFit="1" customWidth="1"/>
  </cols>
  <sheetData>
    <row r="1" spans="1:29" ht="45" x14ac:dyDescent="0.25">
      <c r="A1" s="23" t="s">
        <v>23</v>
      </c>
      <c r="B1" s="24" t="s">
        <v>24</v>
      </c>
      <c r="C1" s="24" t="s">
        <v>25</v>
      </c>
      <c r="D1" s="24" t="s">
        <v>26</v>
      </c>
      <c r="E1" s="24" t="s">
        <v>27</v>
      </c>
      <c r="F1" s="24" t="s">
        <v>28</v>
      </c>
      <c r="G1" s="24" t="s">
        <v>29</v>
      </c>
      <c r="H1" s="24" t="s">
        <v>30</v>
      </c>
      <c r="I1" s="24" t="s">
        <v>31</v>
      </c>
      <c r="J1" s="25" t="s">
        <v>32</v>
      </c>
      <c r="K1" s="24" t="s">
        <v>33</v>
      </c>
      <c r="L1" s="24" t="s">
        <v>34</v>
      </c>
      <c r="M1" s="24" t="s">
        <v>35</v>
      </c>
      <c r="N1" s="24" t="s">
        <v>2163</v>
      </c>
      <c r="O1" s="24" t="s">
        <v>2164</v>
      </c>
      <c r="P1" s="24" t="s">
        <v>36</v>
      </c>
      <c r="Q1" s="24" t="s">
        <v>2210</v>
      </c>
      <c r="R1" s="24" t="s">
        <v>2212</v>
      </c>
      <c r="S1" s="24" t="s">
        <v>2446</v>
      </c>
      <c r="T1" s="24" t="s">
        <v>37</v>
      </c>
      <c r="U1" s="24" t="s">
        <v>38</v>
      </c>
      <c r="V1" s="24" t="s">
        <v>39</v>
      </c>
      <c r="W1" s="24" t="s">
        <v>40</v>
      </c>
      <c r="X1" s="24" t="s">
        <v>41</v>
      </c>
      <c r="Y1" s="24" t="s">
        <v>42</v>
      </c>
      <c r="Z1" s="24" t="s">
        <v>43</v>
      </c>
      <c r="AA1" s="24" t="s">
        <v>44</v>
      </c>
      <c r="AB1" s="24" t="s">
        <v>45</v>
      </c>
      <c r="AC1" s="24" t="s">
        <v>46</v>
      </c>
    </row>
    <row r="2" spans="1:29" x14ac:dyDescent="0.25">
      <c r="A2" s="26">
        <v>12413</v>
      </c>
      <c r="B2" s="27" t="s">
        <v>1947</v>
      </c>
      <c r="C2" s="28" t="s">
        <v>48</v>
      </c>
      <c r="D2" s="29" t="s">
        <v>8</v>
      </c>
      <c r="E2" s="29" t="s">
        <v>8</v>
      </c>
      <c r="F2" s="30">
        <v>43784</v>
      </c>
      <c r="G2" s="26" t="s">
        <v>49</v>
      </c>
      <c r="H2" s="26" t="s">
        <v>50</v>
      </c>
      <c r="I2" s="26" t="s">
        <v>153</v>
      </c>
      <c r="J2" s="26">
        <v>46698</v>
      </c>
      <c r="K2" s="31" t="s">
        <v>2317</v>
      </c>
      <c r="L2" s="26">
        <v>4968</v>
      </c>
      <c r="M2" s="31" t="s">
        <v>275</v>
      </c>
      <c r="N2" s="26">
        <v>5575052416</v>
      </c>
      <c r="O2" s="29" t="s">
        <v>2169</v>
      </c>
      <c r="P2" s="31" t="s">
        <v>9</v>
      </c>
      <c r="Q2" s="26">
        <v>5551722172</v>
      </c>
      <c r="R2" s="31" t="s">
        <v>2213</v>
      </c>
      <c r="S2" s="26" t="s">
        <v>2254</v>
      </c>
      <c r="T2" s="31" t="s">
        <v>2253</v>
      </c>
      <c r="U2" s="27" t="s">
        <v>2229</v>
      </c>
      <c r="V2" s="13" t="s">
        <v>2147</v>
      </c>
      <c r="W2" s="27" t="s">
        <v>161</v>
      </c>
      <c r="X2" s="31">
        <v>53100</v>
      </c>
      <c r="Y2" s="27" t="s">
        <v>118</v>
      </c>
      <c r="Z2" s="31" t="s">
        <v>118</v>
      </c>
      <c r="AA2" s="27" t="s">
        <v>2146</v>
      </c>
      <c r="AB2" s="31" t="s">
        <v>99</v>
      </c>
      <c r="AC2" s="31" t="s">
        <v>99</v>
      </c>
    </row>
    <row r="3" spans="1:29" x14ac:dyDescent="0.25">
      <c r="A3" s="15">
        <v>12380</v>
      </c>
      <c r="B3" s="13" t="s">
        <v>2098</v>
      </c>
      <c r="C3" s="32" t="s">
        <v>488</v>
      </c>
      <c r="D3" s="33" t="s">
        <v>10</v>
      </c>
      <c r="E3" s="33" t="s">
        <v>10</v>
      </c>
      <c r="F3" s="34">
        <v>43769</v>
      </c>
      <c r="G3" s="15" t="s">
        <v>49</v>
      </c>
      <c r="H3" s="15" t="s">
        <v>110</v>
      </c>
      <c r="I3" s="15" t="s">
        <v>110</v>
      </c>
      <c r="J3" s="26">
        <v>14999</v>
      </c>
      <c r="K3" s="31" t="s">
        <v>2445</v>
      </c>
      <c r="L3" s="26">
        <v>5760</v>
      </c>
      <c r="M3" s="31" t="s">
        <v>555</v>
      </c>
      <c r="N3" s="26">
        <v>5579083406</v>
      </c>
      <c r="O3" s="29" t="s">
        <v>2182</v>
      </c>
      <c r="P3" s="31" t="s">
        <v>11</v>
      </c>
      <c r="Q3" s="26" t="s">
        <v>2211</v>
      </c>
      <c r="R3" s="31" t="s">
        <v>2214</v>
      </c>
      <c r="S3" s="26" t="s">
        <v>19</v>
      </c>
      <c r="T3" s="31" t="s">
        <v>2253</v>
      </c>
      <c r="U3" s="16" t="s">
        <v>2154</v>
      </c>
      <c r="V3" s="31" t="s">
        <v>2100</v>
      </c>
      <c r="W3" s="31" t="s">
        <v>767</v>
      </c>
      <c r="X3" s="31">
        <v>3303</v>
      </c>
      <c r="Y3" s="31" t="s">
        <v>57</v>
      </c>
      <c r="Z3" s="31" t="s">
        <v>57</v>
      </c>
      <c r="AA3" s="31" t="s">
        <v>2101</v>
      </c>
      <c r="AB3" s="31">
        <v>5544380076</v>
      </c>
      <c r="AC3" s="31">
        <v>5544380076</v>
      </c>
    </row>
    <row r="4" spans="1:29" x14ac:dyDescent="0.25">
      <c r="A4" s="15">
        <v>12376</v>
      </c>
      <c r="B4" s="13" t="s">
        <v>2093</v>
      </c>
      <c r="C4" s="32" t="s">
        <v>488</v>
      </c>
      <c r="D4" s="33" t="s">
        <v>10</v>
      </c>
      <c r="E4" s="33" t="s">
        <v>10</v>
      </c>
      <c r="F4" s="34">
        <v>43766</v>
      </c>
      <c r="G4" s="15" t="s">
        <v>49</v>
      </c>
      <c r="H4" s="15" t="s">
        <v>110</v>
      </c>
      <c r="I4" s="15" t="s">
        <v>110</v>
      </c>
      <c r="J4" s="26">
        <v>68343</v>
      </c>
      <c r="K4" s="31" t="s">
        <v>2385</v>
      </c>
      <c r="L4" s="26">
        <v>5759</v>
      </c>
      <c r="M4" s="31" t="s">
        <v>618</v>
      </c>
      <c r="N4" s="26">
        <v>5561223018</v>
      </c>
      <c r="O4" s="29" t="s">
        <v>2176</v>
      </c>
      <c r="P4" s="16" t="s">
        <v>11</v>
      </c>
      <c r="Q4" s="26" t="s">
        <v>2211</v>
      </c>
      <c r="R4" s="31" t="s">
        <v>2214</v>
      </c>
      <c r="S4" s="26" t="s">
        <v>19</v>
      </c>
      <c r="T4" s="31" t="s">
        <v>2253</v>
      </c>
      <c r="U4" s="16" t="s">
        <v>2151</v>
      </c>
      <c r="V4" s="31" t="s">
        <v>2095</v>
      </c>
      <c r="W4" s="31" t="s">
        <v>406</v>
      </c>
      <c r="X4" s="31">
        <v>9810</v>
      </c>
      <c r="Y4" s="31" t="s">
        <v>57</v>
      </c>
      <c r="Z4" s="31" t="s">
        <v>57</v>
      </c>
      <c r="AA4" s="31" t="s">
        <v>2096</v>
      </c>
      <c r="AB4" s="31">
        <v>5544380072</v>
      </c>
      <c r="AC4" s="31">
        <v>5544380072</v>
      </c>
    </row>
    <row r="5" spans="1:29" x14ac:dyDescent="0.25">
      <c r="A5" s="15">
        <v>12374</v>
      </c>
      <c r="B5" s="13" t="s">
        <v>2097</v>
      </c>
      <c r="C5" s="32" t="s">
        <v>488</v>
      </c>
      <c r="D5" s="33" t="s">
        <v>10</v>
      </c>
      <c r="E5" s="33" t="s">
        <v>10</v>
      </c>
      <c r="F5" s="34">
        <v>43722</v>
      </c>
      <c r="G5" s="15" t="s">
        <v>49</v>
      </c>
      <c r="H5" s="15" t="s">
        <v>110</v>
      </c>
      <c r="I5" s="15" t="s">
        <v>110</v>
      </c>
      <c r="J5" s="26">
        <v>1456</v>
      </c>
      <c r="K5" s="31" t="s">
        <v>2426</v>
      </c>
      <c r="L5" s="26">
        <v>4565</v>
      </c>
      <c r="M5" s="31" t="s">
        <v>675</v>
      </c>
      <c r="N5" s="26">
        <v>5541302266</v>
      </c>
      <c r="O5" s="29" t="s">
        <v>2180</v>
      </c>
      <c r="P5" s="16" t="s">
        <v>11</v>
      </c>
      <c r="Q5" s="26" t="s">
        <v>2211</v>
      </c>
      <c r="R5" s="31" t="s">
        <v>2214</v>
      </c>
      <c r="S5" s="26" t="s">
        <v>19</v>
      </c>
      <c r="T5" s="31" t="s">
        <v>2253</v>
      </c>
      <c r="U5" s="16" t="s">
        <v>2152</v>
      </c>
      <c r="V5" s="31" t="s">
        <v>2161</v>
      </c>
      <c r="W5" s="31" t="s">
        <v>2225</v>
      </c>
      <c r="X5" s="31">
        <v>39300</v>
      </c>
      <c r="Y5" s="31" t="s">
        <v>678</v>
      </c>
      <c r="Z5" s="31" t="s">
        <v>679</v>
      </c>
      <c r="AA5" s="31" t="s">
        <v>2099</v>
      </c>
      <c r="AB5" s="31">
        <v>7441340011</v>
      </c>
      <c r="AC5" s="31">
        <v>7441340011</v>
      </c>
    </row>
    <row r="6" spans="1:29" x14ac:dyDescent="0.25">
      <c r="A6" s="26">
        <v>11138</v>
      </c>
      <c r="B6" s="27" t="s">
        <v>2040</v>
      </c>
      <c r="C6" s="32" t="s">
        <v>771</v>
      </c>
      <c r="D6" s="29" t="s">
        <v>772</v>
      </c>
      <c r="E6" s="29" t="s">
        <v>12</v>
      </c>
      <c r="F6" s="30">
        <v>35061</v>
      </c>
      <c r="G6" s="26" t="s">
        <v>49</v>
      </c>
      <c r="H6" s="26" t="s">
        <v>110</v>
      </c>
      <c r="I6" s="26" t="s">
        <v>110</v>
      </c>
      <c r="J6" s="26">
        <v>28252</v>
      </c>
      <c r="K6" s="31" t="s">
        <v>2041</v>
      </c>
      <c r="L6" s="26">
        <v>4700</v>
      </c>
      <c r="M6" s="31" t="s">
        <v>773</v>
      </c>
      <c r="N6" s="26">
        <v>8331047410</v>
      </c>
      <c r="O6" s="29" t="s">
        <v>2183</v>
      </c>
      <c r="P6" s="31" t="s">
        <v>13</v>
      </c>
      <c r="Q6" s="26" t="s">
        <v>2248</v>
      </c>
      <c r="R6" s="31" t="s">
        <v>2215</v>
      </c>
      <c r="S6" s="26" t="s">
        <v>2254</v>
      </c>
      <c r="T6" s="31" t="s">
        <v>2253</v>
      </c>
      <c r="U6" s="31" t="s">
        <v>2042</v>
      </c>
      <c r="V6" s="31" t="s">
        <v>2043</v>
      </c>
      <c r="W6" s="31" t="s">
        <v>99</v>
      </c>
      <c r="X6" s="31">
        <v>66450</v>
      </c>
      <c r="Y6" s="31" t="s">
        <v>774</v>
      </c>
      <c r="Z6" s="31" t="s">
        <v>775</v>
      </c>
      <c r="AA6" s="31" t="s">
        <v>2044</v>
      </c>
      <c r="AB6" s="31">
        <v>8183322710</v>
      </c>
      <c r="AC6" s="31">
        <v>8183768509</v>
      </c>
    </row>
    <row r="7" spans="1:29" x14ac:dyDescent="0.25">
      <c r="A7" s="26">
        <v>12381</v>
      </c>
      <c r="B7" s="27" t="s">
        <v>2238</v>
      </c>
      <c r="C7" s="28" t="s">
        <v>771</v>
      </c>
      <c r="D7" s="29" t="s">
        <v>772</v>
      </c>
      <c r="E7" s="29" t="s">
        <v>12</v>
      </c>
      <c r="F7" s="30">
        <v>43775</v>
      </c>
      <c r="G7" s="26" t="s">
        <v>49</v>
      </c>
      <c r="H7" s="26" t="s">
        <v>110</v>
      </c>
      <c r="I7" s="26" t="s">
        <v>110</v>
      </c>
      <c r="J7" s="26">
        <v>24445</v>
      </c>
      <c r="K7" s="31" t="s">
        <v>2054</v>
      </c>
      <c r="L7" s="26">
        <v>4305</v>
      </c>
      <c r="M7" s="31" t="s">
        <v>920</v>
      </c>
      <c r="N7" s="26">
        <v>8117990849</v>
      </c>
      <c r="O7" s="29" t="s">
        <v>2188</v>
      </c>
      <c r="P7" s="31" t="s">
        <v>13</v>
      </c>
      <c r="Q7" s="26" t="s">
        <v>2248</v>
      </c>
      <c r="R7" s="31" t="s">
        <v>2215</v>
      </c>
      <c r="S7" s="26" t="s">
        <v>2254</v>
      </c>
      <c r="T7" s="31" t="s">
        <v>2253</v>
      </c>
      <c r="U7" s="31" t="s">
        <v>2233</v>
      </c>
      <c r="V7" s="31" t="s">
        <v>2234</v>
      </c>
      <c r="W7" s="31" t="s">
        <v>99</v>
      </c>
      <c r="X7" s="31">
        <v>66273</v>
      </c>
      <c r="Y7" s="31" t="s">
        <v>2235</v>
      </c>
      <c r="Z7" s="31" t="s">
        <v>775</v>
      </c>
      <c r="AA7" s="31" t="s">
        <v>2236</v>
      </c>
      <c r="AB7" s="31">
        <v>8110889202</v>
      </c>
      <c r="AC7" s="31">
        <v>8138490017</v>
      </c>
    </row>
    <row r="8" spans="1:29" x14ac:dyDescent="0.25">
      <c r="A8" s="15">
        <v>12391</v>
      </c>
      <c r="B8" s="13" t="s">
        <v>2247</v>
      </c>
      <c r="C8" s="35" t="s">
        <v>771</v>
      </c>
      <c r="D8" s="29" t="s">
        <v>772</v>
      </c>
      <c r="E8" s="29" t="s">
        <v>12</v>
      </c>
      <c r="F8" s="34">
        <v>43825</v>
      </c>
      <c r="G8" s="15" t="s">
        <v>49</v>
      </c>
      <c r="H8" s="15" t="s">
        <v>110</v>
      </c>
      <c r="I8" s="15" t="s">
        <v>110</v>
      </c>
      <c r="J8" s="26">
        <v>27910</v>
      </c>
      <c r="K8" s="31" t="s">
        <v>2070</v>
      </c>
      <c r="L8" s="26">
        <v>4305</v>
      </c>
      <c r="M8" s="31" t="s">
        <v>920</v>
      </c>
      <c r="N8" s="26">
        <v>8117990849</v>
      </c>
      <c r="O8" s="29" t="s">
        <v>2188</v>
      </c>
      <c r="P8" s="31" t="s">
        <v>13</v>
      </c>
      <c r="Q8" s="26" t="s">
        <v>2248</v>
      </c>
      <c r="R8" s="31" t="s">
        <v>2215</v>
      </c>
      <c r="S8" s="26" t="s">
        <v>2254</v>
      </c>
      <c r="T8" s="31" t="s">
        <v>2253</v>
      </c>
      <c r="U8" s="13" t="s">
        <v>2249</v>
      </c>
      <c r="V8" s="13" t="s">
        <v>2250</v>
      </c>
      <c r="W8" s="13" t="s">
        <v>2235</v>
      </c>
      <c r="X8" s="13">
        <v>66233</v>
      </c>
      <c r="Y8" s="31" t="s">
        <v>2235</v>
      </c>
      <c r="Z8" s="13" t="s">
        <v>775</v>
      </c>
      <c r="AA8" s="31" t="s">
        <v>2251</v>
      </c>
      <c r="AB8" s="31" t="s">
        <v>99</v>
      </c>
      <c r="AC8" s="31" t="s">
        <v>2252</v>
      </c>
    </row>
    <row r="9" spans="1:29" x14ac:dyDescent="0.25">
      <c r="A9" s="15">
        <v>12358</v>
      </c>
      <c r="B9" s="13" t="s">
        <v>2127</v>
      </c>
      <c r="C9" s="35" t="s">
        <v>1046</v>
      </c>
      <c r="D9" s="13" t="s">
        <v>1047</v>
      </c>
      <c r="E9" s="13" t="s">
        <v>14</v>
      </c>
      <c r="F9" s="34">
        <v>43784</v>
      </c>
      <c r="G9" s="15" t="s">
        <v>49</v>
      </c>
      <c r="H9" s="15" t="s">
        <v>110</v>
      </c>
      <c r="I9" s="15" t="s">
        <v>110</v>
      </c>
      <c r="J9" s="26">
        <v>24760</v>
      </c>
      <c r="K9" s="31" t="s">
        <v>1221</v>
      </c>
      <c r="L9" s="26">
        <v>2083</v>
      </c>
      <c r="M9" s="31" t="s">
        <v>1205</v>
      </c>
      <c r="N9" s="26">
        <v>3315991394</v>
      </c>
      <c r="O9" s="29" t="s">
        <v>2194</v>
      </c>
      <c r="P9" s="31" t="s">
        <v>15</v>
      </c>
      <c r="Q9" s="26">
        <v>5513972258</v>
      </c>
      <c r="R9" s="31" t="s">
        <v>2216</v>
      </c>
      <c r="S9" s="26" t="s">
        <v>2254</v>
      </c>
      <c r="T9" s="31" t="s">
        <v>2253</v>
      </c>
      <c r="U9" s="13" t="s">
        <v>2230</v>
      </c>
      <c r="V9" s="31" t="s">
        <v>89</v>
      </c>
      <c r="W9" s="31" t="s">
        <v>99</v>
      </c>
      <c r="X9" s="31">
        <v>76000</v>
      </c>
      <c r="Y9" s="31" t="s">
        <v>1208</v>
      </c>
      <c r="Z9" s="31" t="s">
        <v>1208</v>
      </c>
      <c r="AA9" s="31" t="s">
        <v>2128</v>
      </c>
      <c r="AB9" s="31" t="s">
        <v>99</v>
      </c>
      <c r="AC9" s="31">
        <v>4424560112</v>
      </c>
    </row>
    <row r="10" spans="1:29" x14ac:dyDescent="0.25">
      <c r="A10" s="15">
        <v>12385</v>
      </c>
      <c r="B10" s="13" t="s">
        <v>2239</v>
      </c>
      <c r="C10" s="35" t="s">
        <v>1046</v>
      </c>
      <c r="D10" s="13" t="s">
        <v>1047</v>
      </c>
      <c r="E10" s="33" t="s">
        <v>14</v>
      </c>
      <c r="F10" s="34">
        <v>43819</v>
      </c>
      <c r="G10" s="15" t="s">
        <v>49</v>
      </c>
      <c r="H10" s="15" t="s">
        <v>110</v>
      </c>
      <c r="I10" s="15" t="s">
        <v>110</v>
      </c>
      <c r="J10" s="26">
        <v>50183</v>
      </c>
      <c r="K10" s="31" t="s">
        <v>2242</v>
      </c>
      <c r="L10" s="26">
        <v>5462</v>
      </c>
      <c r="M10" s="31" t="s">
        <v>1238</v>
      </c>
      <c r="N10" s="26">
        <v>3315994071</v>
      </c>
      <c r="O10" s="29" t="s">
        <v>2195</v>
      </c>
      <c r="P10" s="16" t="s">
        <v>15</v>
      </c>
      <c r="Q10" s="26">
        <v>5513972258</v>
      </c>
      <c r="R10" s="31" t="s">
        <v>2216</v>
      </c>
      <c r="S10" s="26" t="s">
        <v>2254</v>
      </c>
      <c r="T10" s="31" t="s">
        <v>2253</v>
      </c>
      <c r="U10" s="13" t="s">
        <v>2243</v>
      </c>
      <c r="V10" s="31" t="s">
        <v>89</v>
      </c>
      <c r="W10" s="31" t="s">
        <v>99</v>
      </c>
      <c r="X10" s="31">
        <v>76000</v>
      </c>
      <c r="Y10" s="31" t="s">
        <v>1208</v>
      </c>
      <c r="Z10" s="31" t="s">
        <v>1208</v>
      </c>
      <c r="AA10" s="31" t="s">
        <v>2244</v>
      </c>
      <c r="AB10" s="31" t="s">
        <v>99</v>
      </c>
      <c r="AC10" s="16">
        <v>4424560116</v>
      </c>
    </row>
    <row r="11" spans="1:29" x14ac:dyDescent="0.25">
      <c r="A11" s="15">
        <v>12368</v>
      </c>
      <c r="B11" s="13" t="s">
        <v>1954</v>
      </c>
      <c r="C11" s="28" t="s">
        <v>948</v>
      </c>
      <c r="D11" s="33" t="s">
        <v>949</v>
      </c>
      <c r="E11" s="33" t="s">
        <v>14</v>
      </c>
      <c r="F11" s="34">
        <v>43747</v>
      </c>
      <c r="G11" s="15" t="s">
        <v>49</v>
      </c>
      <c r="H11" s="15" t="s">
        <v>110</v>
      </c>
      <c r="I11" s="15" t="s">
        <v>110</v>
      </c>
      <c r="J11" s="26">
        <v>33113</v>
      </c>
      <c r="K11" s="31" t="s">
        <v>1327</v>
      </c>
      <c r="L11" s="26">
        <v>6163</v>
      </c>
      <c r="M11" s="31" t="s">
        <v>1317</v>
      </c>
      <c r="N11" s="26">
        <v>3315333269</v>
      </c>
      <c r="O11" s="29" t="s">
        <v>2197</v>
      </c>
      <c r="P11" s="16" t="s">
        <v>15</v>
      </c>
      <c r="Q11" s="26">
        <v>5513972258</v>
      </c>
      <c r="R11" s="31" t="s">
        <v>2216</v>
      </c>
      <c r="S11" s="26" t="s">
        <v>2254</v>
      </c>
      <c r="T11" s="31" t="s">
        <v>2253</v>
      </c>
      <c r="U11" s="16" t="s">
        <v>2156</v>
      </c>
      <c r="V11" s="31" t="s">
        <v>1954</v>
      </c>
      <c r="W11" s="31" t="s">
        <v>99</v>
      </c>
      <c r="X11" s="31">
        <v>45019</v>
      </c>
      <c r="Y11" s="31" t="s">
        <v>1044</v>
      </c>
      <c r="Z11" s="31" t="s">
        <v>955</v>
      </c>
      <c r="AA11" s="31" t="s">
        <v>2094</v>
      </c>
      <c r="AB11" s="31">
        <v>3338012941</v>
      </c>
      <c r="AC11" s="31">
        <v>3315790288</v>
      </c>
    </row>
    <row r="12" spans="1:29" x14ac:dyDescent="0.25">
      <c r="A12" s="26">
        <v>12383</v>
      </c>
      <c r="B12" s="27" t="s">
        <v>2102</v>
      </c>
      <c r="C12" s="28" t="s">
        <v>1360</v>
      </c>
      <c r="D12" s="29" t="s">
        <v>16</v>
      </c>
      <c r="E12" s="29" t="s">
        <v>16</v>
      </c>
      <c r="F12" s="30">
        <v>43783</v>
      </c>
      <c r="G12" s="26" t="s">
        <v>49</v>
      </c>
      <c r="H12" s="26" t="s">
        <v>110</v>
      </c>
      <c r="I12" s="26" t="s">
        <v>110</v>
      </c>
      <c r="J12" s="26">
        <v>35703</v>
      </c>
      <c r="K12" s="31" t="s">
        <v>2142</v>
      </c>
      <c r="L12" s="26">
        <v>5350</v>
      </c>
      <c r="M12" s="31" t="s">
        <v>1528</v>
      </c>
      <c r="N12" s="26">
        <v>5578887741</v>
      </c>
      <c r="O12" s="29" t="s">
        <v>2202</v>
      </c>
      <c r="P12" s="31" t="s">
        <v>17</v>
      </c>
      <c r="Q12" s="26">
        <v>5539398490</v>
      </c>
      <c r="R12" s="31" t="s">
        <v>2217</v>
      </c>
      <c r="S12" s="26" t="s">
        <v>19</v>
      </c>
      <c r="T12" s="31" t="s">
        <v>2253</v>
      </c>
      <c r="U12" s="31" t="s">
        <v>2231</v>
      </c>
      <c r="V12" s="31" t="s">
        <v>2002</v>
      </c>
      <c r="W12" s="31" t="s">
        <v>1384</v>
      </c>
      <c r="X12" s="31">
        <v>72100</v>
      </c>
      <c r="Y12" s="31" t="s">
        <v>1384</v>
      </c>
      <c r="Z12" s="31" t="s">
        <v>1384</v>
      </c>
      <c r="AA12" s="31" t="s">
        <v>2143</v>
      </c>
      <c r="AB12" s="31">
        <v>2229506322</v>
      </c>
      <c r="AC12" s="31">
        <v>2224540123</v>
      </c>
    </row>
    <row r="13" spans="1:29" x14ac:dyDescent="0.25">
      <c r="A13" s="15">
        <v>12382</v>
      </c>
      <c r="B13" s="13" t="s">
        <v>2130</v>
      </c>
      <c r="C13" s="28" t="s">
        <v>1706</v>
      </c>
      <c r="D13" s="33" t="s">
        <v>18</v>
      </c>
      <c r="E13" s="33" t="s">
        <v>18</v>
      </c>
      <c r="F13" s="34">
        <v>43784</v>
      </c>
      <c r="G13" s="15" t="s">
        <v>49</v>
      </c>
      <c r="H13" s="15" t="s">
        <v>110</v>
      </c>
      <c r="I13" s="15" t="s">
        <v>110</v>
      </c>
      <c r="J13" s="26">
        <v>52908</v>
      </c>
      <c r="K13" s="31" t="s">
        <v>1759</v>
      </c>
      <c r="L13" s="15">
        <v>2286</v>
      </c>
      <c r="M13" s="16" t="s">
        <v>1849</v>
      </c>
      <c r="N13" s="15">
        <v>9982273235</v>
      </c>
      <c r="O13" s="29" t="s">
        <v>2208</v>
      </c>
      <c r="P13" s="16" t="s">
        <v>395</v>
      </c>
      <c r="Q13" s="26" t="s">
        <v>99</v>
      </c>
      <c r="R13" s="31" t="s">
        <v>99</v>
      </c>
      <c r="S13" s="26" t="s">
        <v>19</v>
      </c>
      <c r="T13" s="31" t="s">
        <v>2253</v>
      </c>
      <c r="U13" s="16" t="s">
        <v>2131</v>
      </c>
      <c r="V13" s="31" t="s">
        <v>89</v>
      </c>
      <c r="W13" s="31" t="s">
        <v>99</v>
      </c>
      <c r="X13" s="31">
        <v>77600</v>
      </c>
      <c r="Y13" s="31" t="s">
        <v>1758</v>
      </c>
      <c r="Z13" s="31" t="s">
        <v>1747</v>
      </c>
      <c r="AA13" s="31" t="s">
        <v>2132</v>
      </c>
      <c r="AB13" s="31" t="s">
        <v>2133</v>
      </c>
      <c r="AC13" s="31" t="s">
        <v>2134</v>
      </c>
    </row>
    <row r="14" spans="1:29" x14ac:dyDescent="0.25">
      <c r="A14" s="15">
        <v>12384</v>
      </c>
      <c r="B14" s="13" t="s">
        <v>2135</v>
      </c>
      <c r="C14" s="28" t="s">
        <v>1706</v>
      </c>
      <c r="D14" s="33" t="s">
        <v>18</v>
      </c>
      <c r="E14" s="33" t="s">
        <v>18</v>
      </c>
      <c r="F14" s="34">
        <v>43784</v>
      </c>
      <c r="G14" s="15" t="s">
        <v>49</v>
      </c>
      <c r="H14" s="15" t="s">
        <v>110</v>
      </c>
      <c r="I14" s="15" t="s">
        <v>110</v>
      </c>
      <c r="J14" s="26">
        <v>47651</v>
      </c>
      <c r="K14" s="31" t="s">
        <v>2245</v>
      </c>
      <c r="L14" s="15">
        <v>2286</v>
      </c>
      <c r="M14" s="16" t="s">
        <v>1849</v>
      </c>
      <c r="N14" s="15">
        <v>9982273235</v>
      </c>
      <c r="O14" s="29" t="s">
        <v>2208</v>
      </c>
      <c r="P14" s="16" t="s">
        <v>395</v>
      </c>
      <c r="Q14" s="26" t="s">
        <v>99</v>
      </c>
      <c r="R14" s="31" t="s">
        <v>99</v>
      </c>
      <c r="S14" s="26" t="s">
        <v>19</v>
      </c>
      <c r="T14" s="31" t="s">
        <v>2253</v>
      </c>
      <c r="U14" s="16" t="s">
        <v>2232</v>
      </c>
      <c r="V14" s="31" t="s">
        <v>2135</v>
      </c>
      <c r="W14" s="31" t="s">
        <v>99</v>
      </c>
      <c r="X14" s="31">
        <v>77725</v>
      </c>
      <c r="Y14" s="31" t="s">
        <v>1754</v>
      </c>
      <c r="Z14" s="31" t="s">
        <v>1747</v>
      </c>
      <c r="AA14" s="31" t="s">
        <v>2136</v>
      </c>
      <c r="AB14" s="31" t="s">
        <v>2137</v>
      </c>
      <c r="AC14" s="31" t="s">
        <v>2138</v>
      </c>
    </row>
  </sheetData>
  <hyperlinks>
    <hyperlink ref="AA2" r:id="rId1"/>
    <hyperlink ref="AA8" r:id="rId2"/>
    <hyperlink ref="AA10" r:id="rId3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4" sqref="B4"/>
    </sheetView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60"/>
  <sheetViews>
    <sheetView workbookViewId="0">
      <selection activeCell="C12" sqref="C12"/>
    </sheetView>
  </sheetViews>
  <sheetFormatPr baseColWidth="10" defaultRowHeight="15" x14ac:dyDescent="0.25"/>
  <cols>
    <col min="1" max="1" width="5.28515625" bestFit="1" customWidth="1"/>
    <col min="2" max="2" width="10" bestFit="1" customWidth="1"/>
    <col min="3" max="3" width="26.7109375" bestFit="1" customWidth="1"/>
    <col min="4" max="4" width="25" bestFit="1" customWidth="1"/>
    <col min="5" max="5" width="24.42578125" bestFit="1" customWidth="1"/>
    <col min="6" max="6" width="32.140625" bestFit="1" customWidth="1"/>
    <col min="7" max="7" width="21.42578125" bestFit="1" customWidth="1"/>
  </cols>
  <sheetData>
    <row r="1" spans="1:7" x14ac:dyDescent="0.25">
      <c r="B1" t="s">
        <v>2468</v>
      </c>
      <c r="C1" t="s">
        <v>2465</v>
      </c>
      <c r="D1" t="s">
        <v>2466</v>
      </c>
      <c r="E1" t="s">
        <v>2467</v>
      </c>
      <c r="F1" t="s">
        <v>2446</v>
      </c>
      <c r="G1" t="s">
        <v>37</v>
      </c>
    </row>
    <row r="2" spans="1:7" x14ac:dyDescent="0.25">
      <c r="A2" s="26">
        <v>11721</v>
      </c>
      <c r="B2" s="26"/>
      <c r="C2" s="31" t="s">
        <v>2255</v>
      </c>
      <c r="D2" s="31" t="s">
        <v>52</v>
      </c>
      <c r="E2" s="31" t="s">
        <v>9</v>
      </c>
      <c r="F2" t="s">
        <v>2254</v>
      </c>
      <c r="G2" t="s">
        <v>2253</v>
      </c>
    </row>
    <row r="3" spans="1:7" x14ac:dyDescent="0.25">
      <c r="A3" s="26">
        <v>11744</v>
      </c>
      <c r="B3" s="26"/>
      <c r="C3" s="31" t="s">
        <v>2256</v>
      </c>
      <c r="D3" s="31" t="s">
        <v>52</v>
      </c>
      <c r="E3" s="31" t="s">
        <v>9</v>
      </c>
      <c r="F3" t="s">
        <v>2254</v>
      </c>
      <c r="G3" t="s">
        <v>2253</v>
      </c>
    </row>
    <row r="4" spans="1:7" x14ac:dyDescent="0.25">
      <c r="A4" s="26">
        <v>11751</v>
      </c>
      <c r="B4" s="26"/>
      <c r="C4" s="31" t="s">
        <v>2257</v>
      </c>
      <c r="D4" s="31" t="s">
        <v>52</v>
      </c>
      <c r="E4" s="31" t="s">
        <v>9</v>
      </c>
      <c r="F4" t="s">
        <v>2254</v>
      </c>
      <c r="G4" t="s">
        <v>2253</v>
      </c>
    </row>
    <row r="5" spans="1:7" x14ac:dyDescent="0.25">
      <c r="A5" s="26">
        <v>11752</v>
      </c>
      <c r="B5" s="26"/>
      <c r="C5" s="31" t="s">
        <v>2258</v>
      </c>
      <c r="D5" s="31" t="s">
        <v>52</v>
      </c>
      <c r="E5" s="31" t="s">
        <v>9</v>
      </c>
      <c r="F5" t="s">
        <v>2254</v>
      </c>
      <c r="G5" t="s">
        <v>2253</v>
      </c>
    </row>
    <row r="6" spans="1:7" x14ac:dyDescent="0.25">
      <c r="A6" s="26">
        <v>11755</v>
      </c>
      <c r="B6" s="26"/>
      <c r="C6" s="31" t="s">
        <v>2259</v>
      </c>
      <c r="D6" s="31" t="s">
        <v>52</v>
      </c>
      <c r="E6" s="31" t="s">
        <v>9</v>
      </c>
      <c r="F6" t="s">
        <v>2254</v>
      </c>
      <c r="G6" t="s">
        <v>2253</v>
      </c>
    </row>
    <row r="7" spans="1:7" x14ac:dyDescent="0.25">
      <c r="A7" s="26">
        <v>11763</v>
      </c>
      <c r="B7" s="26"/>
      <c r="C7" s="31" t="s">
        <v>2260</v>
      </c>
      <c r="D7" s="31" t="s">
        <v>52</v>
      </c>
      <c r="E7" s="31" t="s">
        <v>9</v>
      </c>
      <c r="F7" t="s">
        <v>2254</v>
      </c>
      <c r="G7" t="s">
        <v>2253</v>
      </c>
    </row>
    <row r="8" spans="1:7" x14ac:dyDescent="0.25">
      <c r="A8" s="26">
        <v>11776</v>
      </c>
      <c r="B8" s="26"/>
      <c r="C8" s="31" t="s">
        <v>395</v>
      </c>
      <c r="D8" s="31" t="s">
        <v>52</v>
      </c>
      <c r="E8" s="31" t="s">
        <v>9</v>
      </c>
      <c r="F8" t="s">
        <v>2254</v>
      </c>
      <c r="G8" t="s">
        <v>2253</v>
      </c>
    </row>
    <row r="9" spans="1:7" x14ac:dyDescent="0.25">
      <c r="A9" s="26">
        <v>11835</v>
      </c>
      <c r="B9" s="26"/>
      <c r="C9" s="31" t="s">
        <v>2261</v>
      </c>
      <c r="D9" s="31" t="s">
        <v>52</v>
      </c>
      <c r="E9" s="31" t="s">
        <v>9</v>
      </c>
      <c r="F9" t="s">
        <v>2254</v>
      </c>
      <c r="G9" t="s">
        <v>2253</v>
      </c>
    </row>
    <row r="10" spans="1:7" x14ac:dyDescent="0.25">
      <c r="A10" s="26">
        <v>11849</v>
      </c>
      <c r="B10" s="26"/>
      <c r="C10" s="31" t="s">
        <v>395</v>
      </c>
      <c r="D10" s="31" t="s">
        <v>52</v>
      </c>
      <c r="E10" s="31" t="s">
        <v>9</v>
      </c>
      <c r="F10" t="s">
        <v>2254</v>
      </c>
      <c r="G10" t="s">
        <v>2253</v>
      </c>
    </row>
    <row r="11" spans="1:7" x14ac:dyDescent="0.25">
      <c r="A11" s="26">
        <v>11903</v>
      </c>
      <c r="B11" s="26"/>
      <c r="C11" s="31" t="s">
        <v>2262</v>
      </c>
      <c r="D11" s="31" t="s">
        <v>52</v>
      </c>
      <c r="E11" s="31" t="s">
        <v>9</v>
      </c>
      <c r="F11" t="s">
        <v>2254</v>
      </c>
      <c r="G11" t="s">
        <v>2253</v>
      </c>
    </row>
    <row r="12" spans="1:7" x14ac:dyDescent="0.25">
      <c r="A12" s="26">
        <v>11914</v>
      </c>
      <c r="B12" s="26"/>
      <c r="C12" s="31" t="s">
        <v>2263</v>
      </c>
      <c r="D12" s="31" t="s">
        <v>52</v>
      </c>
      <c r="E12" s="31" t="s">
        <v>9</v>
      </c>
      <c r="F12" t="s">
        <v>2254</v>
      </c>
      <c r="G12" t="s">
        <v>2253</v>
      </c>
    </row>
    <row r="13" spans="1:7" x14ac:dyDescent="0.25">
      <c r="A13" s="26">
        <v>11075</v>
      </c>
      <c r="B13" s="26"/>
      <c r="C13" s="31" t="s">
        <v>2264</v>
      </c>
      <c r="D13" s="31" t="s">
        <v>111</v>
      </c>
      <c r="E13" s="31" t="s">
        <v>9</v>
      </c>
      <c r="F13" t="s">
        <v>2254</v>
      </c>
      <c r="G13" t="s">
        <v>2253</v>
      </c>
    </row>
    <row r="14" spans="1:7" x14ac:dyDescent="0.25">
      <c r="A14" s="26">
        <v>11169</v>
      </c>
      <c r="B14" s="26"/>
      <c r="C14" s="31" t="s">
        <v>2265</v>
      </c>
      <c r="D14" s="31" t="s">
        <v>111</v>
      </c>
      <c r="E14" s="31" t="s">
        <v>9</v>
      </c>
      <c r="F14" t="s">
        <v>2254</v>
      </c>
      <c r="G14" t="s">
        <v>2253</v>
      </c>
    </row>
    <row r="15" spans="1:7" x14ac:dyDescent="0.25">
      <c r="A15" s="26">
        <v>11196</v>
      </c>
      <c r="B15" s="26"/>
      <c r="C15" s="31" t="s">
        <v>395</v>
      </c>
      <c r="D15" s="31" t="s">
        <v>111</v>
      </c>
      <c r="E15" s="31" t="s">
        <v>9</v>
      </c>
      <c r="F15" t="s">
        <v>2254</v>
      </c>
      <c r="G15" t="s">
        <v>2253</v>
      </c>
    </row>
    <row r="16" spans="1:7" x14ac:dyDescent="0.25">
      <c r="A16" s="26">
        <v>11215</v>
      </c>
      <c r="B16" s="26"/>
      <c r="C16" s="31" t="s">
        <v>2266</v>
      </c>
      <c r="D16" s="31" t="s">
        <v>111</v>
      </c>
      <c r="E16" s="31" t="s">
        <v>9</v>
      </c>
      <c r="F16" t="s">
        <v>2254</v>
      </c>
      <c r="G16" t="s">
        <v>2253</v>
      </c>
    </row>
    <row r="17" spans="1:7" x14ac:dyDescent="0.25">
      <c r="A17" s="26">
        <v>11259</v>
      </c>
      <c r="B17" s="26"/>
      <c r="C17" s="31" t="s">
        <v>2267</v>
      </c>
      <c r="D17" s="31" t="s">
        <v>111</v>
      </c>
      <c r="E17" s="31" t="s">
        <v>9</v>
      </c>
      <c r="F17" t="s">
        <v>2254</v>
      </c>
      <c r="G17" t="s">
        <v>2253</v>
      </c>
    </row>
    <row r="18" spans="1:7" x14ac:dyDescent="0.25">
      <c r="A18" s="26">
        <v>11424</v>
      </c>
      <c r="B18" s="26"/>
      <c r="C18" s="31" t="s">
        <v>2268</v>
      </c>
      <c r="D18" s="31" t="s">
        <v>111</v>
      </c>
      <c r="E18" s="31" t="s">
        <v>9</v>
      </c>
      <c r="F18" t="s">
        <v>2254</v>
      </c>
      <c r="G18" t="s">
        <v>2253</v>
      </c>
    </row>
    <row r="19" spans="1:7" x14ac:dyDescent="0.25">
      <c r="A19" s="26">
        <v>11442</v>
      </c>
      <c r="B19" s="26"/>
      <c r="C19" s="31" t="s">
        <v>2269</v>
      </c>
      <c r="D19" s="31" t="s">
        <v>111</v>
      </c>
      <c r="E19" s="31" t="s">
        <v>9</v>
      </c>
      <c r="F19" t="s">
        <v>2254</v>
      </c>
      <c r="G19" t="s">
        <v>2253</v>
      </c>
    </row>
    <row r="20" spans="1:7" x14ac:dyDescent="0.25">
      <c r="A20" s="26">
        <v>11476</v>
      </c>
      <c r="B20" s="26"/>
      <c r="C20" s="31" t="s">
        <v>2270</v>
      </c>
      <c r="D20" s="31" t="s">
        <v>111</v>
      </c>
      <c r="E20" s="31" t="s">
        <v>9</v>
      </c>
      <c r="F20" t="s">
        <v>2254</v>
      </c>
      <c r="G20" t="s">
        <v>2253</v>
      </c>
    </row>
    <row r="21" spans="1:7" x14ac:dyDescent="0.25">
      <c r="A21" s="26">
        <v>11566</v>
      </c>
      <c r="B21" s="26"/>
      <c r="C21" s="31" t="s">
        <v>2271</v>
      </c>
      <c r="D21" s="31" t="s">
        <v>111</v>
      </c>
      <c r="E21" s="31" t="s">
        <v>9</v>
      </c>
      <c r="F21" t="s">
        <v>2254</v>
      </c>
      <c r="G21" t="s">
        <v>2253</v>
      </c>
    </row>
    <row r="22" spans="1:7" x14ac:dyDescent="0.25">
      <c r="A22" s="26">
        <v>11631</v>
      </c>
      <c r="B22" s="26"/>
      <c r="C22" s="31" t="s">
        <v>2272</v>
      </c>
      <c r="D22" s="31" t="s">
        <v>111</v>
      </c>
      <c r="E22" s="31" t="s">
        <v>9</v>
      </c>
      <c r="F22" t="s">
        <v>2254</v>
      </c>
      <c r="G22" t="s">
        <v>2253</v>
      </c>
    </row>
    <row r="23" spans="1:7" x14ac:dyDescent="0.25">
      <c r="A23" s="26">
        <v>11869</v>
      </c>
      <c r="B23" s="26"/>
      <c r="C23" s="31" t="s">
        <v>2273</v>
      </c>
      <c r="D23" s="31" t="s">
        <v>111</v>
      </c>
      <c r="E23" s="31" t="s">
        <v>9</v>
      </c>
      <c r="F23" t="s">
        <v>2254</v>
      </c>
      <c r="G23" t="s">
        <v>2253</v>
      </c>
    </row>
    <row r="24" spans="1:7" x14ac:dyDescent="0.25">
      <c r="A24" s="26">
        <v>11001</v>
      </c>
      <c r="B24" s="26"/>
      <c r="C24" s="31" t="s">
        <v>2274</v>
      </c>
      <c r="D24" s="31" t="s">
        <v>158</v>
      </c>
      <c r="E24" s="31" t="s">
        <v>9</v>
      </c>
      <c r="F24" t="s">
        <v>2254</v>
      </c>
      <c r="G24" t="s">
        <v>2253</v>
      </c>
    </row>
    <row r="25" spans="1:7" x14ac:dyDescent="0.25">
      <c r="A25" s="26">
        <v>11003</v>
      </c>
      <c r="B25" s="26"/>
      <c r="C25" s="31" t="s">
        <v>2275</v>
      </c>
      <c r="D25" s="31" t="s">
        <v>158</v>
      </c>
      <c r="E25" s="31" t="s">
        <v>9</v>
      </c>
      <c r="F25" t="s">
        <v>2254</v>
      </c>
      <c r="G25" t="s">
        <v>2253</v>
      </c>
    </row>
    <row r="26" spans="1:7" x14ac:dyDescent="0.25">
      <c r="A26" s="26">
        <v>11011</v>
      </c>
      <c r="B26" s="26"/>
      <c r="C26" s="31" t="s">
        <v>2276</v>
      </c>
      <c r="D26" s="31" t="s">
        <v>158</v>
      </c>
      <c r="E26" s="31" t="s">
        <v>9</v>
      </c>
      <c r="F26" t="s">
        <v>2254</v>
      </c>
      <c r="G26" t="s">
        <v>2253</v>
      </c>
    </row>
    <row r="27" spans="1:7" x14ac:dyDescent="0.25">
      <c r="A27" s="26">
        <v>11068</v>
      </c>
      <c r="B27" s="26"/>
      <c r="C27" s="31" t="s">
        <v>2277</v>
      </c>
      <c r="D27" s="31" t="s">
        <v>158</v>
      </c>
      <c r="E27" s="31" t="s">
        <v>9</v>
      </c>
      <c r="F27" t="s">
        <v>2254</v>
      </c>
      <c r="G27" t="s">
        <v>2253</v>
      </c>
    </row>
    <row r="28" spans="1:7" x14ac:dyDescent="0.25">
      <c r="A28" s="26">
        <v>11071</v>
      </c>
      <c r="B28" s="26"/>
      <c r="C28" s="31" t="s">
        <v>2278</v>
      </c>
      <c r="D28" s="31" t="s">
        <v>158</v>
      </c>
      <c r="E28" s="31" t="s">
        <v>9</v>
      </c>
      <c r="F28" t="s">
        <v>2254</v>
      </c>
      <c r="G28" t="s">
        <v>2253</v>
      </c>
    </row>
    <row r="29" spans="1:7" x14ac:dyDescent="0.25">
      <c r="A29" s="26">
        <v>11165</v>
      </c>
      <c r="B29" s="26"/>
      <c r="C29" s="31" t="s">
        <v>2279</v>
      </c>
      <c r="D29" s="31" t="s">
        <v>158</v>
      </c>
      <c r="E29" s="31" t="s">
        <v>9</v>
      </c>
      <c r="F29" t="s">
        <v>2254</v>
      </c>
      <c r="G29" t="s">
        <v>2253</v>
      </c>
    </row>
    <row r="30" spans="1:7" x14ac:dyDescent="0.25">
      <c r="A30" s="26">
        <v>11209</v>
      </c>
      <c r="B30" s="26"/>
      <c r="C30" s="31" t="s">
        <v>2280</v>
      </c>
      <c r="D30" s="31" t="s">
        <v>158</v>
      </c>
      <c r="E30" s="31" t="s">
        <v>9</v>
      </c>
      <c r="F30" t="s">
        <v>2254</v>
      </c>
      <c r="G30" t="s">
        <v>2253</v>
      </c>
    </row>
    <row r="31" spans="1:7" x14ac:dyDescent="0.25">
      <c r="A31" s="26">
        <v>11475</v>
      </c>
      <c r="B31" s="26"/>
      <c r="C31" s="31" t="s">
        <v>2281</v>
      </c>
      <c r="D31" s="31" t="s">
        <v>158</v>
      </c>
      <c r="E31" s="31" t="s">
        <v>9</v>
      </c>
      <c r="F31" t="s">
        <v>2254</v>
      </c>
      <c r="G31" t="s">
        <v>2253</v>
      </c>
    </row>
    <row r="32" spans="1:7" x14ac:dyDescent="0.25">
      <c r="A32" s="26">
        <v>11625</v>
      </c>
      <c r="B32" s="26"/>
      <c r="C32" s="31" t="s">
        <v>2282</v>
      </c>
      <c r="D32" s="31" t="s">
        <v>158</v>
      </c>
      <c r="E32" s="31" t="s">
        <v>9</v>
      </c>
      <c r="F32" t="s">
        <v>2254</v>
      </c>
      <c r="G32" t="s">
        <v>2253</v>
      </c>
    </row>
    <row r="33" spans="1:7" x14ac:dyDescent="0.25">
      <c r="A33" s="26">
        <v>11949</v>
      </c>
      <c r="B33" s="26"/>
      <c r="C33" s="31" t="s">
        <v>2283</v>
      </c>
      <c r="D33" s="31" t="s">
        <v>158</v>
      </c>
      <c r="E33" s="31" t="s">
        <v>9</v>
      </c>
      <c r="F33" t="s">
        <v>2254</v>
      </c>
      <c r="G33" t="s">
        <v>2253</v>
      </c>
    </row>
    <row r="34" spans="1:7" x14ac:dyDescent="0.25">
      <c r="A34" s="26">
        <v>11132</v>
      </c>
      <c r="B34" s="26"/>
      <c r="C34" s="31" t="s">
        <v>2284</v>
      </c>
      <c r="D34" s="31" t="s">
        <v>196</v>
      </c>
      <c r="E34" s="31" t="s">
        <v>9</v>
      </c>
      <c r="F34" t="s">
        <v>2254</v>
      </c>
      <c r="G34" t="s">
        <v>2253</v>
      </c>
    </row>
    <row r="35" spans="1:7" x14ac:dyDescent="0.25">
      <c r="A35" s="26">
        <v>11141</v>
      </c>
      <c r="B35" s="26"/>
      <c r="C35" s="31" t="s">
        <v>2285</v>
      </c>
      <c r="D35" s="31" t="s">
        <v>196</v>
      </c>
      <c r="E35" s="31" t="s">
        <v>9</v>
      </c>
      <c r="F35" t="s">
        <v>2254</v>
      </c>
      <c r="G35" t="s">
        <v>2253</v>
      </c>
    </row>
    <row r="36" spans="1:7" x14ac:dyDescent="0.25">
      <c r="A36" s="26">
        <v>11159</v>
      </c>
      <c r="B36" s="26"/>
      <c r="C36" s="31" t="s">
        <v>2286</v>
      </c>
      <c r="D36" s="31" t="s">
        <v>196</v>
      </c>
      <c r="E36" s="31" t="s">
        <v>9</v>
      </c>
      <c r="F36" t="s">
        <v>2254</v>
      </c>
      <c r="G36" t="s">
        <v>2253</v>
      </c>
    </row>
    <row r="37" spans="1:7" x14ac:dyDescent="0.25">
      <c r="A37" s="26">
        <v>11200</v>
      </c>
      <c r="B37" s="26"/>
      <c r="C37" s="31" t="s">
        <v>2287</v>
      </c>
      <c r="D37" s="31" t="s">
        <v>196</v>
      </c>
      <c r="E37" s="31" t="s">
        <v>9</v>
      </c>
      <c r="F37" t="s">
        <v>2254</v>
      </c>
      <c r="G37" t="s">
        <v>2253</v>
      </c>
    </row>
    <row r="38" spans="1:7" x14ac:dyDescent="0.25">
      <c r="A38" s="26">
        <v>11207</v>
      </c>
      <c r="B38" s="26"/>
      <c r="C38" s="31" t="s">
        <v>2288</v>
      </c>
      <c r="D38" s="31" t="s">
        <v>196</v>
      </c>
      <c r="E38" s="31" t="s">
        <v>9</v>
      </c>
      <c r="F38" t="s">
        <v>2254</v>
      </c>
      <c r="G38" t="s">
        <v>2253</v>
      </c>
    </row>
    <row r="39" spans="1:7" x14ac:dyDescent="0.25">
      <c r="A39" s="26">
        <v>11211</v>
      </c>
      <c r="B39" s="26"/>
      <c r="C39" s="31" t="s">
        <v>2289</v>
      </c>
      <c r="D39" s="31" t="s">
        <v>196</v>
      </c>
      <c r="E39" s="31" t="s">
        <v>9</v>
      </c>
      <c r="F39" t="s">
        <v>2254</v>
      </c>
      <c r="G39" t="s">
        <v>2253</v>
      </c>
    </row>
    <row r="40" spans="1:7" x14ac:dyDescent="0.25">
      <c r="A40" s="26">
        <v>11250</v>
      </c>
      <c r="B40" s="26"/>
      <c r="C40" s="31" t="s">
        <v>2290</v>
      </c>
      <c r="D40" s="31" t="s">
        <v>196</v>
      </c>
      <c r="E40" s="31" t="s">
        <v>9</v>
      </c>
      <c r="F40" t="s">
        <v>2254</v>
      </c>
      <c r="G40" t="s">
        <v>2253</v>
      </c>
    </row>
    <row r="41" spans="1:7" x14ac:dyDescent="0.25">
      <c r="A41" s="26">
        <v>11289</v>
      </c>
      <c r="B41" s="26"/>
      <c r="C41" s="31" t="s">
        <v>2291</v>
      </c>
      <c r="D41" s="31" t="s">
        <v>196</v>
      </c>
      <c r="E41" s="31" t="s">
        <v>9</v>
      </c>
      <c r="F41" t="s">
        <v>2254</v>
      </c>
      <c r="G41" t="s">
        <v>2253</v>
      </c>
    </row>
    <row r="42" spans="1:7" x14ac:dyDescent="0.25">
      <c r="A42" s="26">
        <v>11480</v>
      </c>
      <c r="B42" s="26"/>
      <c r="C42" s="31" t="s">
        <v>2292</v>
      </c>
      <c r="D42" s="31" t="s">
        <v>196</v>
      </c>
      <c r="E42" s="31" t="s">
        <v>9</v>
      </c>
      <c r="F42" t="s">
        <v>2254</v>
      </c>
      <c r="G42" t="s">
        <v>2253</v>
      </c>
    </row>
    <row r="43" spans="1:7" x14ac:dyDescent="0.25">
      <c r="A43" s="26">
        <v>11554</v>
      </c>
      <c r="B43" s="26"/>
      <c r="C43" s="31" t="s">
        <v>2293</v>
      </c>
      <c r="D43" s="31" t="s">
        <v>196</v>
      </c>
      <c r="E43" s="31" t="s">
        <v>9</v>
      </c>
      <c r="F43" t="s">
        <v>2254</v>
      </c>
      <c r="G43" t="s">
        <v>2253</v>
      </c>
    </row>
    <row r="44" spans="1:7" x14ac:dyDescent="0.25">
      <c r="A44" s="26">
        <v>12349</v>
      </c>
      <c r="B44" s="26"/>
      <c r="C44" s="31" t="s">
        <v>2294</v>
      </c>
      <c r="D44" s="31" t="s">
        <v>196</v>
      </c>
      <c r="E44" s="31" t="s">
        <v>9</v>
      </c>
      <c r="F44" t="s">
        <v>2254</v>
      </c>
      <c r="G44" t="s">
        <v>2253</v>
      </c>
    </row>
    <row r="45" spans="1:7" x14ac:dyDescent="0.25">
      <c r="A45" s="26">
        <v>11012</v>
      </c>
      <c r="B45" s="26"/>
      <c r="C45" s="31" t="s">
        <v>2295</v>
      </c>
      <c r="D45" s="31" t="s">
        <v>242</v>
      </c>
      <c r="E45" s="31" t="s">
        <v>9</v>
      </c>
      <c r="F45" t="s">
        <v>2254</v>
      </c>
      <c r="G45" t="s">
        <v>2253</v>
      </c>
    </row>
    <row r="46" spans="1:7" x14ac:dyDescent="0.25">
      <c r="A46" s="26">
        <v>11106</v>
      </c>
      <c r="B46" s="26"/>
      <c r="C46" s="31" t="s">
        <v>2296</v>
      </c>
      <c r="D46" s="31" t="s">
        <v>242</v>
      </c>
      <c r="E46" s="31" t="s">
        <v>9</v>
      </c>
      <c r="F46" t="s">
        <v>2254</v>
      </c>
      <c r="G46" t="s">
        <v>2253</v>
      </c>
    </row>
    <row r="47" spans="1:7" x14ac:dyDescent="0.25">
      <c r="A47" s="26">
        <v>11143</v>
      </c>
      <c r="B47" s="26"/>
      <c r="C47" s="31" t="s">
        <v>2297</v>
      </c>
      <c r="D47" s="31" t="s">
        <v>242</v>
      </c>
      <c r="E47" s="31" t="s">
        <v>9</v>
      </c>
      <c r="F47" t="s">
        <v>2254</v>
      </c>
      <c r="G47" t="s">
        <v>2253</v>
      </c>
    </row>
    <row r="48" spans="1:7" x14ac:dyDescent="0.25">
      <c r="A48" s="26">
        <v>11173</v>
      </c>
      <c r="B48" s="26"/>
      <c r="C48" s="31" t="s">
        <v>2298</v>
      </c>
      <c r="D48" s="31" t="s">
        <v>242</v>
      </c>
      <c r="E48" s="31" t="s">
        <v>9</v>
      </c>
      <c r="F48" t="s">
        <v>2254</v>
      </c>
      <c r="G48" t="s">
        <v>2253</v>
      </c>
    </row>
    <row r="49" spans="1:7" x14ac:dyDescent="0.25">
      <c r="A49" s="26">
        <v>11243</v>
      </c>
      <c r="B49" s="26"/>
      <c r="C49" s="31" t="s">
        <v>2299</v>
      </c>
      <c r="D49" s="31" t="s">
        <v>242</v>
      </c>
      <c r="E49" s="31" t="s">
        <v>9</v>
      </c>
      <c r="F49" t="s">
        <v>2254</v>
      </c>
      <c r="G49" t="s">
        <v>2253</v>
      </c>
    </row>
    <row r="50" spans="1:7" x14ac:dyDescent="0.25">
      <c r="A50" s="26">
        <v>11345</v>
      </c>
      <c r="B50" s="26"/>
      <c r="C50" s="31" t="s">
        <v>2300</v>
      </c>
      <c r="D50" s="31" t="s">
        <v>242</v>
      </c>
      <c r="E50" s="31" t="s">
        <v>9</v>
      </c>
      <c r="F50" t="s">
        <v>2254</v>
      </c>
      <c r="G50" t="s">
        <v>2253</v>
      </c>
    </row>
    <row r="51" spans="1:7" x14ac:dyDescent="0.25">
      <c r="A51" s="26">
        <v>11844</v>
      </c>
      <c r="B51" s="26"/>
      <c r="C51" s="31" t="s">
        <v>2301</v>
      </c>
      <c r="D51" s="31" t="s">
        <v>242</v>
      </c>
      <c r="E51" s="31" t="s">
        <v>9</v>
      </c>
      <c r="F51" t="s">
        <v>2254</v>
      </c>
      <c r="G51" t="s">
        <v>2253</v>
      </c>
    </row>
    <row r="52" spans="1:7" x14ac:dyDescent="0.25">
      <c r="A52" s="26">
        <v>11871</v>
      </c>
      <c r="B52" s="26"/>
      <c r="C52" s="31" t="s">
        <v>2302</v>
      </c>
      <c r="D52" s="31" t="s">
        <v>242</v>
      </c>
      <c r="E52" s="31" t="s">
        <v>9</v>
      </c>
      <c r="F52" t="s">
        <v>2254</v>
      </c>
      <c r="G52" t="s">
        <v>2253</v>
      </c>
    </row>
    <row r="53" spans="1:7" x14ac:dyDescent="0.25">
      <c r="A53" s="26">
        <v>11891</v>
      </c>
      <c r="B53" s="26"/>
      <c r="C53" s="31" t="s">
        <v>2303</v>
      </c>
      <c r="D53" s="31" t="s">
        <v>242</v>
      </c>
      <c r="E53" s="31" t="s">
        <v>9</v>
      </c>
      <c r="F53" t="s">
        <v>2254</v>
      </c>
      <c r="G53" t="s">
        <v>2253</v>
      </c>
    </row>
    <row r="54" spans="1:7" x14ac:dyDescent="0.25">
      <c r="A54" s="26">
        <v>11939</v>
      </c>
      <c r="B54" s="26"/>
      <c r="C54" s="31" t="s">
        <v>2304</v>
      </c>
      <c r="D54" s="31" t="s">
        <v>242</v>
      </c>
      <c r="E54" s="31" t="s">
        <v>9</v>
      </c>
      <c r="F54" t="s">
        <v>2254</v>
      </c>
      <c r="G54" t="s">
        <v>2253</v>
      </c>
    </row>
    <row r="55" spans="1:7" x14ac:dyDescent="0.25">
      <c r="A55" s="26">
        <v>12321</v>
      </c>
      <c r="B55" s="26"/>
      <c r="C55" s="31" t="s">
        <v>2305</v>
      </c>
      <c r="D55" s="31" t="s">
        <v>242</v>
      </c>
      <c r="E55" s="31" t="s">
        <v>9</v>
      </c>
      <c r="F55" t="s">
        <v>2254</v>
      </c>
      <c r="G55" t="s">
        <v>2253</v>
      </c>
    </row>
    <row r="56" spans="1:7" x14ac:dyDescent="0.25">
      <c r="A56" s="26">
        <v>11017</v>
      </c>
      <c r="B56" s="26"/>
      <c r="C56" s="31" t="s">
        <v>2306</v>
      </c>
      <c r="D56" s="31" t="s">
        <v>275</v>
      </c>
      <c r="E56" s="31" t="s">
        <v>9</v>
      </c>
      <c r="F56" t="s">
        <v>2254</v>
      </c>
      <c r="G56" t="s">
        <v>2253</v>
      </c>
    </row>
    <row r="57" spans="1:7" x14ac:dyDescent="0.25">
      <c r="A57" s="26">
        <v>11018</v>
      </c>
      <c r="B57" s="26"/>
      <c r="C57" s="31" t="s">
        <v>2307</v>
      </c>
      <c r="D57" s="31" t="s">
        <v>275</v>
      </c>
      <c r="E57" s="31" t="s">
        <v>9</v>
      </c>
      <c r="F57" t="s">
        <v>2254</v>
      </c>
      <c r="G57" t="s">
        <v>2253</v>
      </c>
    </row>
    <row r="58" spans="1:7" x14ac:dyDescent="0.25">
      <c r="A58" s="26">
        <v>11024</v>
      </c>
      <c r="B58" s="26"/>
      <c r="C58" s="31" t="s">
        <v>2308</v>
      </c>
      <c r="D58" s="31" t="s">
        <v>275</v>
      </c>
      <c r="E58" s="31" t="s">
        <v>9</v>
      </c>
      <c r="F58" t="s">
        <v>2254</v>
      </c>
      <c r="G58" t="s">
        <v>2253</v>
      </c>
    </row>
    <row r="59" spans="1:7" x14ac:dyDescent="0.25">
      <c r="A59" s="26">
        <v>11057</v>
      </c>
      <c r="B59" s="26"/>
      <c r="C59" s="31" t="s">
        <v>2309</v>
      </c>
      <c r="D59" s="31" t="s">
        <v>275</v>
      </c>
      <c r="E59" s="31" t="s">
        <v>9</v>
      </c>
      <c r="F59" t="s">
        <v>2254</v>
      </c>
      <c r="G59" t="s">
        <v>2253</v>
      </c>
    </row>
    <row r="60" spans="1:7" x14ac:dyDescent="0.25">
      <c r="A60" s="26">
        <v>11153</v>
      </c>
      <c r="B60" s="26"/>
      <c r="C60" s="31" t="s">
        <v>2310</v>
      </c>
      <c r="D60" s="31" t="s">
        <v>275</v>
      </c>
      <c r="E60" s="31" t="s">
        <v>9</v>
      </c>
      <c r="F60" t="s">
        <v>2254</v>
      </c>
      <c r="G60" t="s">
        <v>2253</v>
      </c>
    </row>
    <row r="61" spans="1:7" x14ac:dyDescent="0.25">
      <c r="A61" s="26">
        <v>11206</v>
      </c>
      <c r="B61" s="26"/>
      <c r="C61" s="31" t="s">
        <v>2311</v>
      </c>
      <c r="D61" s="31" t="s">
        <v>275</v>
      </c>
      <c r="E61" s="31" t="s">
        <v>9</v>
      </c>
      <c r="F61" t="s">
        <v>2254</v>
      </c>
      <c r="G61" t="s">
        <v>2253</v>
      </c>
    </row>
    <row r="62" spans="1:7" x14ac:dyDescent="0.25">
      <c r="A62" s="26">
        <v>11564</v>
      </c>
      <c r="B62" s="26"/>
      <c r="C62" s="31" t="s">
        <v>2312</v>
      </c>
      <c r="D62" s="31" t="s">
        <v>275</v>
      </c>
      <c r="E62" s="31" t="s">
        <v>9</v>
      </c>
      <c r="F62" t="s">
        <v>2254</v>
      </c>
      <c r="G62" t="s">
        <v>2253</v>
      </c>
    </row>
    <row r="63" spans="1:7" x14ac:dyDescent="0.25">
      <c r="A63" s="26">
        <v>11626</v>
      </c>
      <c r="B63" s="26"/>
      <c r="C63" s="31" t="s">
        <v>2313</v>
      </c>
      <c r="D63" s="31" t="s">
        <v>275</v>
      </c>
      <c r="E63" s="31" t="s">
        <v>9</v>
      </c>
      <c r="F63" t="s">
        <v>2254</v>
      </c>
      <c r="G63" t="s">
        <v>2253</v>
      </c>
    </row>
    <row r="64" spans="1:7" x14ac:dyDescent="0.25">
      <c r="A64" s="26">
        <v>12303</v>
      </c>
      <c r="B64" s="26"/>
      <c r="C64" s="31" t="s">
        <v>2314</v>
      </c>
      <c r="D64" s="31" t="s">
        <v>275</v>
      </c>
      <c r="E64" s="31" t="s">
        <v>9</v>
      </c>
      <c r="F64" t="s">
        <v>2254</v>
      </c>
      <c r="G64" t="s">
        <v>2253</v>
      </c>
    </row>
    <row r="65" spans="1:7" x14ac:dyDescent="0.25">
      <c r="A65" s="26">
        <v>12340</v>
      </c>
      <c r="B65" s="26"/>
      <c r="C65" s="31" t="s">
        <v>2315</v>
      </c>
      <c r="D65" s="31" t="s">
        <v>275</v>
      </c>
      <c r="E65" s="31" t="s">
        <v>9</v>
      </c>
      <c r="F65" t="s">
        <v>2254</v>
      </c>
      <c r="G65" t="s">
        <v>2253</v>
      </c>
    </row>
    <row r="66" spans="1:7" x14ac:dyDescent="0.25">
      <c r="A66" s="26">
        <v>12347</v>
      </c>
      <c r="B66" s="26"/>
      <c r="C66" s="31" t="s">
        <v>2316</v>
      </c>
      <c r="D66" s="31" t="s">
        <v>275</v>
      </c>
      <c r="E66" s="31" t="s">
        <v>9</v>
      </c>
      <c r="F66" t="s">
        <v>2254</v>
      </c>
      <c r="G66" t="s">
        <v>2253</v>
      </c>
    </row>
    <row r="67" spans="1:7" x14ac:dyDescent="0.25">
      <c r="A67" s="26">
        <v>12413</v>
      </c>
      <c r="B67" s="26"/>
      <c r="C67" s="31" t="s">
        <v>2317</v>
      </c>
      <c r="D67" s="31" t="s">
        <v>275</v>
      </c>
      <c r="E67" s="31" t="s">
        <v>9</v>
      </c>
      <c r="F67" t="s">
        <v>2254</v>
      </c>
      <c r="G67" t="s">
        <v>2253</v>
      </c>
    </row>
    <row r="68" spans="1:7" x14ac:dyDescent="0.25">
      <c r="A68" s="26">
        <v>11055</v>
      </c>
      <c r="B68" s="26"/>
      <c r="C68" s="31" t="s">
        <v>2318</v>
      </c>
      <c r="D68" s="31" t="s">
        <v>316</v>
      </c>
      <c r="E68" s="31" t="s">
        <v>9</v>
      </c>
      <c r="F68" t="s">
        <v>2254</v>
      </c>
      <c r="G68" t="s">
        <v>2253</v>
      </c>
    </row>
    <row r="69" spans="1:7" x14ac:dyDescent="0.25">
      <c r="A69" s="26">
        <v>11058</v>
      </c>
      <c r="B69" s="26"/>
      <c r="C69" s="31" t="s">
        <v>2319</v>
      </c>
      <c r="D69" s="31" t="s">
        <v>316</v>
      </c>
      <c r="E69" s="31" t="s">
        <v>9</v>
      </c>
      <c r="F69" t="s">
        <v>2254</v>
      </c>
      <c r="G69" t="s">
        <v>2253</v>
      </c>
    </row>
    <row r="70" spans="1:7" x14ac:dyDescent="0.25">
      <c r="A70" s="26">
        <v>11089</v>
      </c>
      <c r="B70" s="26"/>
      <c r="C70" s="31" t="s">
        <v>2320</v>
      </c>
      <c r="D70" s="31" t="s">
        <v>316</v>
      </c>
      <c r="E70" s="31" t="s">
        <v>9</v>
      </c>
      <c r="F70" t="s">
        <v>2254</v>
      </c>
      <c r="G70" t="s">
        <v>2253</v>
      </c>
    </row>
    <row r="71" spans="1:7" x14ac:dyDescent="0.25">
      <c r="A71" s="26">
        <v>11096</v>
      </c>
      <c r="B71" s="26"/>
      <c r="C71" s="31" t="s">
        <v>2321</v>
      </c>
      <c r="D71" s="31" t="s">
        <v>316</v>
      </c>
      <c r="E71" s="31" t="s">
        <v>9</v>
      </c>
      <c r="F71" t="s">
        <v>2254</v>
      </c>
      <c r="G71" t="s">
        <v>2253</v>
      </c>
    </row>
    <row r="72" spans="1:7" x14ac:dyDescent="0.25">
      <c r="A72" s="26">
        <v>11210</v>
      </c>
      <c r="B72" s="26"/>
      <c r="C72" s="31" t="s">
        <v>2322</v>
      </c>
      <c r="D72" s="31" t="s">
        <v>316</v>
      </c>
      <c r="E72" s="31" t="s">
        <v>9</v>
      </c>
      <c r="F72" t="s">
        <v>2254</v>
      </c>
      <c r="G72" t="s">
        <v>2253</v>
      </c>
    </row>
    <row r="73" spans="1:7" x14ac:dyDescent="0.25">
      <c r="A73" s="26">
        <v>11219</v>
      </c>
      <c r="B73" s="26"/>
      <c r="C73" s="31" t="s">
        <v>2323</v>
      </c>
      <c r="D73" s="31" t="s">
        <v>316</v>
      </c>
      <c r="E73" s="31" t="s">
        <v>9</v>
      </c>
      <c r="F73" t="s">
        <v>2254</v>
      </c>
      <c r="G73" t="s">
        <v>2253</v>
      </c>
    </row>
    <row r="74" spans="1:7" x14ac:dyDescent="0.25">
      <c r="A74" s="26">
        <v>11290</v>
      </c>
      <c r="B74" s="26"/>
      <c r="C74" s="31" t="s">
        <v>2324</v>
      </c>
      <c r="D74" s="31" t="s">
        <v>316</v>
      </c>
      <c r="E74" s="31" t="s">
        <v>9</v>
      </c>
      <c r="F74" t="s">
        <v>2254</v>
      </c>
      <c r="G74" t="s">
        <v>2253</v>
      </c>
    </row>
    <row r="75" spans="1:7" x14ac:dyDescent="0.25">
      <c r="A75" s="26">
        <v>11580</v>
      </c>
      <c r="B75" s="26"/>
      <c r="C75" s="31" t="s">
        <v>2325</v>
      </c>
      <c r="D75" s="31" t="s">
        <v>316</v>
      </c>
      <c r="E75" s="31" t="s">
        <v>9</v>
      </c>
      <c r="F75" t="s">
        <v>2254</v>
      </c>
      <c r="G75" t="s">
        <v>2253</v>
      </c>
    </row>
    <row r="76" spans="1:7" x14ac:dyDescent="0.25">
      <c r="A76" s="26">
        <v>11892</v>
      </c>
      <c r="B76" s="26"/>
      <c r="C76" s="31" t="s">
        <v>2326</v>
      </c>
      <c r="D76" s="31" t="s">
        <v>316</v>
      </c>
      <c r="E76" s="31" t="s">
        <v>9</v>
      </c>
      <c r="F76" t="s">
        <v>2254</v>
      </c>
      <c r="G76" t="s">
        <v>2253</v>
      </c>
    </row>
    <row r="77" spans="1:7" x14ac:dyDescent="0.25">
      <c r="A77" s="26">
        <v>12308</v>
      </c>
      <c r="B77" s="26"/>
      <c r="C77" s="31" t="s">
        <v>2327</v>
      </c>
      <c r="D77" s="31" t="s">
        <v>316</v>
      </c>
      <c r="E77" s="31" t="s">
        <v>9</v>
      </c>
      <c r="F77" t="s">
        <v>2254</v>
      </c>
      <c r="G77" t="s">
        <v>2253</v>
      </c>
    </row>
    <row r="78" spans="1:7" x14ac:dyDescent="0.25">
      <c r="A78" s="26">
        <v>12341</v>
      </c>
      <c r="B78" s="26"/>
      <c r="C78" s="31" t="s">
        <v>2328</v>
      </c>
      <c r="D78" s="31" t="s">
        <v>316</v>
      </c>
      <c r="E78" s="31" t="s">
        <v>9</v>
      </c>
      <c r="F78" t="s">
        <v>2254</v>
      </c>
      <c r="G78" t="s">
        <v>2253</v>
      </c>
    </row>
    <row r="79" spans="1:7" x14ac:dyDescent="0.25">
      <c r="A79" s="26">
        <v>11120</v>
      </c>
      <c r="B79" s="26"/>
      <c r="C79" s="31" t="s">
        <v>2329</v>
      </c>
      <c r="D79" s="31" t="s">
        <v>2237</v>
      </c>
      <c r="E79" s="31" t="s">
        <v>9</v>
      </c>
      <c r="F79" t="s">
        <v>2254</v>
      </c>
      <c r="G79" t="s">
        <v>2253</v>
      </c>
    </row>
    <row r="80" spans="1:7" x14ac:dyDescent="0.25">
      <c r="A80" s="26">
        <v>11155</v>
      </c>
      <c r="B80" s="26"/>
      <c r="C80" s="31" t="s">
        <v>2330</v>
      </c>
      <c r="D80" s="31" t="s">
        <v>2237</v>
      </c>
      <c r="E80" s="31" t="s">
        <v>9</v>
      </c>
      <c r="F80" t="s">
        <v>2254</v>
      </c>
      <c r="G80" t="s">
        <v>2253</v>
      </c>
    </row>
    <row r="81" spans="1:7" x14ac:dyDescent="0.25">
      <c r="A81" s="26">
        <v>11440</v>
      </c>
      <c r="B81" s="26"/>
      <c r="C81" s="31" t="s">
        <v>2331</v>
      </c>
      <c r="D81" s="31" t="s">
        <v>2237</v>
      </c>
      <c r="E81" s="31" t="s">
        <v>9</v>
      </c>
      <c r="F81" t="s">
        <v>2254</v>
      </c>
      <c r="G81" t="s">
        <v>2253</v>
      </c>
    </row>
    <row r="82" spans="1:7" x14ac:dyDescent="0.25">
      <c r="A82" s="26">
        <v>11560</v>
      </c>
      <c r="B82" s="26"/>
      <c r="C82" s="31" t="s">
        <v>2332</v>
      </c>
      <c r="D82" s="31" t="s">
        <v>2237</v>
      </c>
      <c r="E82" s="31" t="s">
        <v>9</v>
      </c>
      <c r="F82" t="s">
        <v>2254</v>
      </c>
      <c r="G82" t="s">
        <v>2253</v>
      </c>
    </row>
    <row r="83" spans="1:7" x14ac:dyDescent="0.25">
      <c r="A83" s="26">
        <v>11881</v>
      </c>
      <c r="B83" s="26"/>
      <c r="C83" s="31" t="s">
        <v>2333</v>
      </c>
      <c r="D83" s="31" t="s">
        <v>2237</v>
      </c>
      <c r="E83" s="31" t="s">
        <v>9</v>
      </c>
      <c r="F83" t="s">
        <v>2254</v>
      </c>
      <c r="G83" t="s">
        <v>2253</v>
      </c>
    </row>
    <row r="84" spans="1:7" x14ac:dyDescent="0.25">
      <c r="A84" s="26">
        <v>11928</v>
      </c>
      <c r="B84" s="26"/>
      <c r="C84" s="31" t="s">
        <v>2334</v>
      </c>
      <c r="D84" s="31" t="s">
        <v>2237</v>
      </c>
      <c r="E84" s="31" t="s">
        <v>9</v>
      </c>
      <c r="F84" t="s">
        <v>2254</v>
      </c>
      <c r="G84" t="s">
        <v>2253</v>
      </c>
    </row>
    <row r="85" spans="1:7" x14ac:dyDescent="0.25">
      <c r="A85" s="26">
        <v>11940</v>
      </c>
      <c r="B85" s="26"/>
      <c r="C85" s="31" t="s">
        <v>2335</v>
      </c>
      <c r="D85" s="31" t="s">
        <v>2237</v>
      </c>
      <c r="E85" s="31" t="s">
        <v>9</v>
      </c>
      <c r="F85" t="s">
        <v>2254</v>
      </c>
      <c r="G85" t="s">
        <v>2253</v>
      </c>
    </row>
    <row r="86" spans="1:7" x14ac:dyDescent="0.25">
      <c r="A86" s="26">
        <v>12311</v>
      </c>
      <c r="B86" s="26"/>
      <c r="C86" s="31" t="s">
        <v>395</v>
      </c>
      <c r="D86" s="31" t="s">
        <v>2237</v>
      </c>
      <c r="E86" s="31" t="s">
        <v>9</v>
      </c>
      <c r="F86" t="s">
        <v>2254</v>
      </c>
      <c r="G86" t="s">
        <v>2253</v>
      </c>
    </row>
    <row r="87" spans="1:7" x14ac:dyDescent="0.25">
      <c r="A87" s="26">
        <v>11154</v>
      </c>
      <c r="B87" s="26"/>
      <c r="C87" s="31" t="s">
        <v>2336</v>
      </c>
      <c r="D87" s="31" t="s">
        <v>361</v>
      </c>
      <c r="E87" s="31" t="s">
        <v>9</v>
      </c>
      <c r="F87" t="s">
        <v>2254</v>
      </c>
      <c r="G87" t="s">
        <v>2253</v>
      </c>
    </row>
    <row r="88" spans="1:7" x14ac:dyDescent="0.25">
      <c r="A88" s="26">
        <v>11164</v>
      </c>
      <c r="B88" s="26"/>
      <c r="C88" s="31" t="s">
        <v>2337</v>
      </c>
      <c r="D88" s="31" t="s">
        <v>361</v>
      </c>
      <c r="E88" s="31" t="s">
        <v>9</v>
      </c>
      <c r="F88" t="s">
        <v>2254</v>
      </c>
      <c r="G88" t="s">
        <v>2253</v>
      </c>
    </row>
    <row r="89" spans="1:7" x14ac:dyDescent="0.25">
      <c r="A89" s="26">
        <v>11193</v>
      </c>
      <c r="B89" s="26"/>
      <c r="C89" s="31" t="s">
        <v>2338</v>
      </c>
      <c r="D89" s="31" t="s">
        <v>361</v>
      </c>
      <c r="E89" s="31" t="s">
        <v>9</v>
      </c>
      <c r="F89" t="s">
        <v>2254</v>
      </c>
      <c r="G89" t="s">
        <v>2253</v>
      </c>
    </row>
    <row r="90" spans="1:7" x14ac:dyDescent="0.25">
      <c r="A90" s="26">
        <v>11242</v>
      </c>
      <c r="B90" s="26"/>
      <c r="C90" s="31" t="s">
        <v>2339</v>
      </c>
      <c r="D90" s="31" t="s">
        <v>361</v>
      </c>
      <c r="E90" s="31" t="s">
        <v>9</v>
      </c>
      <c r="F90" t="s">
        <v>2254</v>
      </c>
      <c r="G90" t="s">
        <v>2253</v>
      </c>
    </row>
    <row r="91" spans="1:7" x14ac:dyDescent="0.25">
      <c r="A91" s="26">
        <v>11306</v>
      </c>
      <c r="B91" s="26"/>
      <c r="C91" s="31" t="s">
        <v>2340</v>
      </c>
      <c r="D91" s="31" t="s">
        <v>361</v>
      </c>
      <c r="E91" s="31" t="s">
        <v>9</v>
      </c>
      <c r="F91" t="s">
        <v>2254</v>
      </c>
      <c r="G91" t="s">
        <v>2253</v>
      </c>
    </row>
    <row r="92" spans="1:7" x14ac:dyDescent="0.25">
      <c r="A92" s="26">
        <v>11477</v>
      </c>
      <c r="B92" s="26"/>
      <c r="C92" s="31" t="s">
        <v>2341</v>
      </c>
      <c r="D92" s="31" t="s">
        <v>361</v>
      </c>
      <c r="E92" s="31" t="s">
        <v>9</v>
      </c>
      <c r="F92" t="s">
        <v>2254</v>
      </c>
      <c r="G92" t="s">
        <v>2253</v>
      </c>
    </row>
    <row r="93" spans="1:7" x14ac:dyDescent="0.25">
      <c r="A93" s="26">
        <v>11548</v>
      </c>
      <c r="B93" s="26"/>
      <c r="C93" s="31" t="s">
        <v>2342</v>
      </c>
      <c r="D93" s="31" t="s">
        <v>361</v>
      </c>
      <c r="E93" s="31" t="s">
        <v>9</v>
      </c>
      <c r="F93" t="s">
        <v>2254</v>
      </c>
      <c r="G93" t="s">
        <v>2253</v>
      </c>
    </row>
    <row r="94" spans="1:7" x14ac:dyDescent="0.25">
      <c r="A94" s="26">
        <v>12342</v>
      </c>
      <c r="B94" s="26"/>
      <c r="C94" s="31" t="s">
        <v>2343</v>
      </c>
      <c r="D94" s="31" t="s">
        <v>361</v>
      </c>
      <c r="E94" s="31" t="s">
        <v>9</v>
      </c>
      <c r="F94" t="s">
        <v>2254</v>
      </c>
      <c r="G94" t="s">
        <v>2253</v>
      </c>
    </row>
    <row r="95" spans="1:7" x14ac:dyDescent="0.25">
      <c r="A95" s="26">
        <v>11087</v>
      </c>
      <c r="B95" s="26"/>
      <c r="C95" s="31" t="s">
        <v>2344</v>
      </c>
      <c r="D95" s="31" t="s">
        <v>440</v>
      </c>
      <c r="E95" s="31" t="s">
        <v>9</v>
      </c>
      <c r="F95" t="s">
        <v>2254</v>
      </c>
      <c r="G95" t="s">
        <v>2253</v>
      </c>
    </row>
    <row r="96" spans="1:7" x14ac:dyDescent="0.25">
      <c r="A96" s="26">
        <v>11168</v>
      </c>
      <c r="B96" s="26"/>
      <c r="C96" s="31" t="s">
        <v>2345</v>
      </c>
      <c r="D96" s="31" t="s">
        <v>440</v>
      </c>
      <c r="E96" s="31" t="s">
        <v>9</v>
      </c>
      <c r="F96" t="s">
        <v>2254</v>
      </c>
      <c r="G96" t="s">
        <v>2253</v>
      </c>
    </row>
    <row r="97" spans="1:7" x14ac:dyDescent="0.25">
      <c r="A97" s="26">
        <v>11184</v>
      </c>
      <c r="B97" s="26"/>
      <c r="C97" s="31" t="s">
        <v>2346</v>
      </c>
      <c r="D97" s="31" t="s">
        <v>440</v>
      </c>
      <c r="E97" s="31" t="s">
        <v>9</v>
      </c>
      <c r="F97" t="s">
        <v>2254</v>
      </c>
      <c r="G97" t="s">
        <v>2253</v>
      </c>
    </row>
    <row r="98" spans="1:7" x14ac:dyDescent="0.25">
      <c r="A98" s="26">
        <v>11190</v>
      </c>
      <c r="B98" s="26"/>
      <c r="C98" s="31" t="s">
        <v>2347</v>
      </c>
      <c r="D98" s="31" t="s">
        <v>440</v>
      </c>
      <c r="E98" s="31" t="s">
        <v>9</v>
      </c>
      <c r="F98" t="s">
        <v>2254</v>
      </c>
      <c r="G98" t="s">
        <v>2253</v>
      </c>
    </row>
    <row r="99" spans="1:7" x14ac:dyDescent="0.25">
      <c r="A99" s="26">
        <v>11239</v>
      </c>
      <c r="B99" s="26"/>
      <c r="C99" s="31" t="s">
        <v>2348</v>
      </c>
      <c r="D99" s="31" t="s">
        <v>440</v>
      </c>
      <c r="E99" s="31" t="s">
        <v>9</v>
      </c>
      <c r="F99" t="s">
        <v>2254</v>
      </c>
      <c r="G99" t="s">
        <v>2253</v>
      </c>
    </row>
    <row r="100" spans="1:7" x14ac:dyDescent="0.25">
      <c r="A100" s="26">
        <v>11257</v>
      </c>
      <c r="B100" s="26"/>
      <c r="C100" s="31" t="s">
        <v>2349</v>
      </c>
      <c r="D100" s="31" t="s">
        <v>440</v>
      </c>
      <c r="E100" s="31" t="s">
        <v>9</v>
      </c>
      <c r="F100" t="s">
        <v>2254</v>
      </c>
      <c r="G100" t="s">
        <v>2253</v>
      </c>
    </row>
    <row r="101" spans="1:7" x14ac:dyDescent="0.25">
      <c r="A101" s="26">
        <v>11314</v>
      </c>
      <c r="B101" s="26"/>
      <c r="C101" s="31" t="s">
        <v>2350</v>
      </c>
      <c r="D101" s="31" t="s">
        <v>440</v>
      </c>
      <c r="E101" s="31" t="s">
        <v>9</v>
      </c>
      <c r="F101" t="s">
        <v>2254</v>
      </c>
      <c r="G101" t="s">
        <v>2253</v>
      </c>
    </row>
    <row r="102" spans="1:7" x14ac:dyDescent="0.25">
      <c r="A102" s="26">
        <v>11449</v>
      </c>
      <c r="B102" s="26"/>
      <c r="C102" s="31" t="s">
        <v>2351</v>
      </c>
      <c r="D102" s="31" t="s">
        <v>440</v>
      </c>
      <c r="E102" s="31" t="s">
        <v>9</v>
      </c>
      <c r="F102" t="s">
        <v>2254</v>
      </c>
      <c r="G102" t="s">
        <v>2253</v>
      </c>
    </row>
    <row r="103" spans="1:7" x14ac:dyDescent="0.25">
      <c r="A103" s="26">
        <v>11461</v>
      </c>
      <c r="B103" s="26"/>
      <c r="C103" s="31" t="s">
        <v>2352</v>
      </c>
      <c r="D103" s="31" t="s">
        <v>440</v>
      </c>
      <c r="E103" s="31" t="s">
        <v>9</v>
      </c>
      <c r="F103" t="s">
        <v>2254</v>
      </c>
      <c r="G103" t="s">
        <v>2253</v>
      </c>
    </row>
    <row r="104" spans="1:7" x14ac:dyDescent="0.25">
      <c r="A104" s="26">
        <v>11555</v>
      </c>
      <c r="B104" s="26"/>
      <c r="C104" s="31" t="s">
        <v>2353</v>
      </c>
      <c r="D104" s="31" t="s">
        <v>440</v>
      </c>
      <c r="E104" s="31" t="s">
        <v>9</v>
      </c>
      <c r="F104" t="s">
        <v>2254</v>
      </c>
      <c r="G104" t="s">
        <v>2253</v>
      </c>
    </row>
    <row r="105" spans="1:7" x14ac:dyDescent="0.25">
      <c r="A105" s="26">
        <v>11778</v>
      </c>
      <c r="B105" s="26"/>
      <c r="C105" s="31" t="s">
        <v>2354</v>
      </c>
      <c r="D105" s="31" t="s">
        <v>440</v>
      </c>
      <c r="E105" s="31" t="s">
        <v>9</v>
      </c>
      <c r="F105" t="s">
        <v>2254</v>
      </c>
      <c r="G105" t="s">
        <v>2253</v>
      </c>
    </row>
    <row r="106" spans="1:7" x14ac:dyDescent="0.25">
      <c r="A106" s="26">
        <v>12344</v>
      </c>
      <c r="B106" s="26"/>
      <c r="C106" s="31" t="s">
        <v>2355</v>
      </c>
      <c r="D106" s="31" t="s">
        <v>440</v>
      </c>
      <c r="E106" s="31" t="s">
        <v>9</v>
      </c>
      <c r="F106" t="s">
        <v>2254</v>
      </c>
      <c r="G106" t="s">
        <v>2253</v>
      </c>
    </row>
    <row r="107" spans="1:7" x14ac:dyDescent="0.25">
      <c r="A107" s="26">
        <v>11005</v>
      </c>
      <c r="B107" s="26"/>
      <c r="C107" s="31" t="s">
        <v>2356</v>
      </c>
      <c r="D107" s="31" t="s">
        <v>489</v>
      </c>
      <c r="E107" s="31" t="s">
        <v>11</v>
      </c>
      <c r="F107" t="s">
        <v>19</v>
      </c>
      <c r="G107" t="s">
        <v>2253</v>
      </c>
    </row>
    <row r="108" spans="1:7" x14ac:dyDescent="0.25">
      <c r="A108" s="26">
        <v>11044</v>
      </c>
      <c r="B108" s="26"/>
      <c r="C108" s="31" t="s">
        <v>2357</v>
      </c>
      <c r="D108" s="31" t="s">
        <v>489</v>
      </c>
      <c r="E108" s="31" t="s">
        <v>11</v>
      </c>
      <c r="F108" t="s">
        <v>19</v>
      </c>
      <c r="G108" t="s">
        <v>2253</v>
      </c>
    </row>
    <row r="109" spans="1:7" x14ac:dyDescent="0.25">
      <c r="A109" s="26">
        <v>11086</v>
      </c>
      <c r="B109" s="26"/>
      <c r="C109" s="31" t="s">
        <v>2358</v>
      </c>
      <c r="D109" s="31" t="s">
        <v>489</v>
      </c>
      <c r="E109" s="31" t="s">
        <v>11</v>
      </c>
      <c r="F109" t="s">
        <v>19</v>
      </c>
      <c r="G109" t="s">
        <v>2253</v>
      </c>
    </row>
    <row r="110" spans="1:7" x14ac:dyDescent="0.25">
      <c r="A110" s="26">
        <v>11149</v>
      </c>
      <c r="B110" s="26"/>
      <c r="C110" s="31" t="s">
        <v>2359</v>
      </c>
      <c r="D110" s="31" t="s">
        <v>489</v>
      </c>
      <c r="E110" s="31" t="s">
        <v>11</v>
      </c>
      <c r="F110" t="s">
        <v>19</v>
      </c>
      <c r="G110" t="s">
        <v>2253</v>
      </c>
    </row>
    <row r="111" spans="1:7" x14ac:dyDescent="0.25">
      <c r="A111" s="26">
        <v>11161</v>
      </c>
      <c r="B111" s="26"/>
      <c r="C111" s="31" t="s">
        <v>2360</v>
      </c>
      <c r="D111" s="31" t="s">
        <v>489</v>
      </c>
      <c r="E111" s="31" t="s">
        <v>11</v>
      </c>
      <c r="F111" t="s">
        <v>19</v>
      </c>
      <c r="G111" t="s">
        <v>2253</v>
      </c>
    </row>
    <row r="112" spans="1:7" x14ac:dyDescent="0.25">
      <c r="A112" s="26">
        <v>11272</v>
      </c>
      <c r="B112" s="26"/>
      <c r="C112" s="31" t="s">
        <v>2361</v>
      </c>
      <c r="D112" s="31" t="s">
        <v>489</v>
      </c>
      <c r="E112" s="31" t="s">
        <v>11</v>
      </c>
      <c r="F112" t="s">
        <v>19</v>
      </c>
      <c r="G112" t="s">
        <v>2253</v>
      </c>
    </row>
    <row r="113" spans="1:7" x14ac:dyDescent="0.25">
      <c r="A113" s="26">
        <v>11286</v>
      </c>
      <c r="B113" s="26"/>
      <c r="C113" s="31" t="s">
        <v>2362</v>
      </c>
      <c r="D113" s="31" t="s">
        <v>489</v>
      </c>
      <c r="E113" s="31" t="s">
        <v>11</v>
      </c>
      <c r="F113" t="s">
        <v>19</v>
      </c>
      <c r="G113" t="s">
        <v>2253</v>
      </c>
    </row>
    <row r="114" spans="1:7" x14ac:dyDescent="0.25">
      <c r="A114" s="26">
        <v>11506</v>
      </c>
      <c r="B114" s="26"/>
      <c r="C114" s="31" t="s">
        <v>2363</v>
      </c>
      <c r="D114" s="31" t="s">
        <v>489</v>
      </c>
      <c r="E114" s="31" t="s">
        <v>11</v>
      </c>
      <c r="F114" t="s">
        <v>19</v>
      </c>
      <c r="G114" t="s">
        <v>2253</v>
      </c>
    </row>
    <row r="115" spans="1:7" x14ac:dyDescent="0.25">
      <c r="A115" s="26">
        <v>11579</v>
      </c>
      <c r="B115" s="26"/>
      <c r="C115" s="31" t="s">
        <v>2364</v>
      </c>
      <c r="D115" s="31" t="s">
        <v>489</v>
      </c>
      <c r="E115" s="31" t="s">
        <v>11</v>
      </c>
      <c r="F115" t="s">
        <v>19</v>
      </c>
      <c r="G115" t="s">
        <v>2253</v>
      </c>
    </row>
    <row r="116" spans="1:7" x14ac:dyDescent="0.25">
      <c r="A116" s="26">
        <v>11784</v>
      </c>
      <c r="B116" s="26"/>
      <c r="C116" s="31" t="s">
        <v>2365</v>
      </c>
      <c r="D116" s="31" t="s">
        <v>489</v>
      </c>
      <c r="E116" s="31" t="s">
        <v>11</v>
      </c>
      <c r="F116" t="s">
        <v>19</v>
      </c>
      <c r="G116" t="s">
        <v>2253</v>
      </c>
    </row>
    <row r="117" spans="1:7" x14ac:dyDescent="0.25">
      <c r="A117" s="26">
        <v>12318</v>
      </c>
      <c r="B117" s="26"/>
      <c r="C117" s="31" t="s">
        <v>2366</v>
      </c>
      <c r="D117" s="31" t="s">
        <v>489</v>
      </c>
      <c r="E117" s="31" t="s">
        <v>11</v>
      </c>
      <c r="F117" t="s">
        <v>19</v>
      </c>
      <c r="G117" t="s">
        <v>2253</v>
      </c>
    </row>
    <row r="118" spans="1:7" x14ac:dyDescent="0.25">
      <c r="A118" s="26">
        <v>12354</v>
      </c>
      <c r="B118" s="26"/>
      <c r="C118" s="31" t="s">
        <v>2367</v>
      </c>
      <c r="D118" s="31" t="s">
        <v>489</v>
      </c>
      <c r="E118" s="31" t="s">
        <v>11</v>
      </c>
      <c r="F118" t="s">
        <v>19</v>
      </c>
      <c r="G118" t="s">
        <v>2253</v>
      </c>
    </row>
    <row r="119" spans="1:7" x14ac:dyDescent="0.25">
      <c r="A119" s="26">
        <v>11009</v>
      </c>
      <c r="B119" s="26"/>
      <c r="C119" s="31" t="s">
        <v>2405</v>
      </c>
      <c r="D119" s="31" t="s">
        <v>529</v>
      </c>
      <c r="E119" s="31" t="s">
        <v>11</v>
      </c>
      <c r="F119" t="s">
        <v>19</v>
      </c>
      <c r="G119" t="s">
        <v>2253</v>
      </c>
    </row>
    <row r="120" spans="1:7" x14ac:dyDescent="0.25">
      <c r="A120" s="26">
        <v>11056</v>
      </c>
      <c r="B120" s="26"/>
      <c r="C120" s="31" t="s">
        <v>2406</v>
      </c>
      <c r="D120" s="31" t="s">
        <v>529</v>
      </c>
      <c r="E120" s="31" t="s">
        <v>11</v>
      </c>
      <c r="F120" t="s">
        <v>19</v>
      </c>
      <c r="G120" t="s">
        <v>2253</v>
      </c>
    </row>
    <row r="121" spans="1:7" x14ac:dyDescent="0.25">
      <c r="A121" s="26">
        <v>11100</v>
      </c>
      <c r="B121" s="26"/>
      <c r="C121" s="31" t="s">
        <v>2407</v>
      </c>
      <c r="D121" s="31" t="s">
        <v>529</v>
      </c>
      <c r="E121" s="31" t="s">
        <v>11</v>
      </c>
      <c r="F121" t="s">
        <v>19</v>
      </c>
      <c r="G121" t="s">
        <v>2253</v>
      </c>
    </row>
    <row r="122" spans="1:7" x14ac:dyDescent="0.25">
      <c r="A122" s="26">
        <v>11121</v>
      </c>
      <c r="B122" s="26"/>
      <c r="C122" s="31" t="s">
        <v>2408</v>
      </c>
      <c r="D122" s="31" t="s">
        <v>529</v>
      </c>
      <c r="E122" s="31" t="s">
        <v>11</v>
      </c>
      <c r="F122" t="s">
        <v>19</v>
      </c>
      <c r="G122" t="s">
        <v>2253</v>
      </c>
    </row>
    <row r="123" spans="1:7" x14ac:dyDescent="0.25">
      <c r="A123" s="26">
        <v>11148</v>
      </c>
      <c r="B123" s="26"/>
      <c r="C123" s="31" t="s">
        <v>2409</v>
      </c>
      <c r="D123" s="31" t="s">
        <v>529</v>
      </c>
      <c r="E123" s="31" t="s">
        <v>11</v>
      </c>
      <c r="F123" t="s">
        <v>19</v>
      </c>
      <c r="G123" t="s">
        <v>2253</v>
      </c>
    </row>
    <row r="124" spans="1:7" x14ac:dyDescent="0.25">
      <c r="A124" s="26">
        <v>11258</v>
      </c>
      <c r="B124" s="26"/>
      <c r="C124" s="31" t="s">
        <v>2410</v>
      </c>
      <c r="D124" s="31" t="s">
        <v>529</v>
      </c>
      <c r="E124" s="31" t="s">
        <v>11</v>
      </c>
      <c r="F124" t="s">
        <v>19</v>
      </c>
      <c r="G124" t="s">
        <v>2253</v>
      </c>
    </row>
    <row r="125" spans="1:7" x14ac:dyDescent="0.25">
      <c r="A125" s="26">
        <v>11452</v>
      </c>
      <c r="B125" s="26"/>
      <c r="C125" s="31" t="s">
        <v>2411</v>
      </c>
      <c r="D125" s="31" t="s">
        <v>529</v>
      </c>
      <c r="E125" s="31" t="s">
        <v>11</v>
      </c>
      <c r="F125" t="s">
        <v>19</v>
      </c>
      <c r="G125" t="s">
        <v>2253</v>
      </c>
    </row>
    <row r="126" spans="1:7" x14ac:dyDescent="0.25">
      <c r="A126" s="26">
        <v>11470</v>
      </c>
      <c r="B126" s="26"/>
      <c r="C126" s="31" t="s">
        <v>2412</v>
      </c>
      <c r="D126" s="31" t="s">
        <v>529</v>
      </c>
      <c r="E126" s="31" t="s">
        <v>11</v>
      </c>
      <c r="F126" t="s">
        <v>19</v>
      </c>
      <c r="G126" t="s">
        <v>2253</v>
      </c>
    </row>
    <row r="127" spans="1:7" x14ac:dyDescent="0.25">
      <c r="A127" s="26">
        <v>12402</v>
      </c>
      <c r="B127" s="26"/>
      <c r="C127" s="31" t="s">
        <v>2413</v>
      </c>
      <c r="D127" s="31" t="s">
        <v>529</v>
      </c>
      <c r="E127" s="31" t="s">
        <v>11</v>
      </c>
      <c r="F127" t="s">
        <v>19</v>
      </c>
      <c r="G127" t="s">
        <v>2253</v>
      </c>
    </row>
    <row r="128" spans="1:7" x14ac:dyDescent="0.25">
      <c r="A128" s="26">
        <v>11023</v>
      </c>
      <c r="B128" s="26"/>
      <c r="C128" s="31" t="s">
        <v>2436</v>
      </c>
      <c r="D128" s="31" t="s">
        <v>555</v>
      </c>
      <c r="E128" s="31" t="s">
        <v>11</v>
      </c>
      <c r="F128" t="s">
        <v>19</v>
      </c>
      <c r="G128" t="s">
        <v>2253</v>
      </c>
    </row>
    <row r="129" spans="1:7" x14ac:dyDescent="0.25">
      <c r="A129" s="26">
        <v>11037</v>
      </c>
      <c r="B129" s="26"/>
      <c r="C129" s="31" t="s">
        <v>2437</v>
      </c>
      <c r="D129" s="31" t="s">
        <v>555</v>
      </c>
      <c r="E129" s="31" t="s">
        <v>11</v>
      </c>
      <c r="F129" t="s">
        <v>19</v>
      </c>
      <c r="G129" t="s">
        <v>2253</v>
      </c>
    </row>
    <row r="130" spans="1:7" x14ac:dyDescent="0.25">
      <c r="A130" s="26">
        <v>11099</v>
      </c>
      <c r="B130" s="26"/>
      <c r="C130" s="31" t="s">
        <v>2438</v>
      </c>
      <c r="D130" s="31" t="s">
        <v>555</v>
      </c>
      <c r="E130" s="31" t="s">
        <v>11</v>
      </c>
      <c r="F130" t="s">
        <v>19</v>
      </c>
      <c r="G130" t="s">
        <v>2253</v>
      </c>
    </row>
    <row r="131" spans="1:7" x14ac:dyDescent="0.25">
      <c r="A131" s="26">
        <v>11150</v>
      </c>
      <c r="B131" s="26"/>
      <c r="C131" s="31" t="s">
        <v>2439</v>
      </c>
      <c r="D131" s="31" t="s">
        <v>555</v>
      </c>
      <c r="E131" s="31" t="s">
        <v>11</v>
      </c>
      <c r="F131" t="s">
        <v>19</v>
      </c>
      <c r="G131" t="s">
        <v>2253</v>
      </c>
    </row>
    <row r="132" spans="1:7" x14ac:dyDescent="0.25">
      <c r="A132" s="26">
        <v>11225</v>
      </c>
      <c r="B132" s="26"/>
      <c r="C132" s="31" t="s">
        <v>2440</v>
      </c>
      <c r="D132" s="31" t="s">
        <v>555</v>
      </c>
      <c r="E132" s="31" t="s">
        <v>11</v>
      </c>
      <c r="F132" t="s">
        <v>19</v>
      </c>
      <c r="G132" t="s">
        <v>2253</v>
      </c>
    </row>
    <row r="133" spans="1:7" x14ac:dyDescent="0.25">
      <c r="A133" s="26">
        <v>11529</v>
      </c>
      <c r="B133" s="26"/>
      <c r="C133" s="31" t="s">
        <v>2441</v>
      </c>
      <c r="D133" s="31" t="s">
        <v>555</v>
      </c>
      <c r="E133" s="31" t="s">
        <v>11</v>
      </c>
      <c r="F133" t="s">
        <v>19</v>
      </c>
      <c r="G133" t="s">
        <v>2253</v>
      </c>
    </row>
    <row r="134" spans="1:7" x14ac:dyDescent="0.25">
      <c r="A134" s="26">
        <v>11617</v>
      </c>
      <c r="B134" s="26"/>
      <c r="C134" s="31" t="s">
        <v>2442</v>
      </c>
      <c r="D134" s="31" t="s">
        <v>555</v>
      </c>
      <c r="E134" s="31" t="s">
        <v>11</v>
      </c>
      <c r="F134" t="s">
        <v>19</v>
      </c>
      <c r="G134" t="s">
        <v>2253</v>
      </c>
    </row>
    <row r="135" spans="1:7" x14ac:dyDescent="0.25">
      <c r="A135" s="26">
        <v>12343</v>
      </c>
      <c r="B135" s="26"/>
      <c r="C135" s="31" t="s">
        <v>2443</v>
      </c>
      <c r="D135" s="31" t="s">
        <v>555</v>
      </c>
      <c r="E135" s="31" t="s">
        <v>11</v>
      </c>
      <c r="F135" t="s">
        <v>19</v>
      </c>
      <c r="G135" t="s">
        <v>2253</v>
      </c>
    </row>
    <row r="136" spans="1:7" x14ac:dyDescent="0.25">
      <c r="A136" s="26">
        <v>12362</v>
      </c>
      <c r="B136" s="26"/>
      <c r="C136" s="31" t="s">
        <v>2444</v>
      </c>
      <c r="D136" s="31" t="s">
        <v>555</v>
      </c>
      <c r="E136" s="31" t="s">
        <v>11</v>
      </c>
      <c r="F136" t="s">
        <v>19</v>
      </c>
      <c r="G136" t="s">
        <v>2253</v>
      </c>
    </row>
    <row r="137" spans="1:7" x14ac:dyDescent="0.25">
      <c r="A137" s="15">
        <v>12380</v>
      </c>
      <c r="B137" s="15"/>
      <c r="C137" s="31" t="s">
        <v>2445</v>
      </c>
      <c r="D137" s="31" t="s">
        <v>555</v>
      </c>
      <c r="E137" s="31" t="s">
        <v>11</v>
      </c>
      <c r="F137" t="s">
        <v>19</v>
      </c>
      <c r="G137" t="s">
        <v>2253</v>
      </c>
    </row>
    <row r="138" spans="1:7" x14ac:dyDescent="0.25">
      <c r="A138" s="26">
        <v>11013</v>
      </c>
      <c r="B138" s="26"/>
      <c r="C138" s="31" t="s">
        <v>2386</v>
      </c>
      <c r="D138" s="31" t="s">
        <v>588</v>
      </c>
      <c r="E138" s="31" t="s">
        <v>11</v>
      </c>
      <c r="F138" t="s">
        <v>19</v>
      </c>
      <c r="G138" t="s">
        <v>2253</v>
      </c>
    </row>
    <row r="139" spans="1:7" x14ac:dyDescent="0.25">
      <c r="A139" s="26">
        <v>11026</v>
      </c>
      <c r="B139" s="26"/>
      <c r="C139" s="31" t="s">
        <v>2387</v>
      </c>
      <c r="D139" s="31" t="s">
        <v>588</v>
      </c>
      <c r="E139" s="31" t="s">
        <v>11</v>
      </c>
      <c r="F139" t="s">
        <v>19</v>
      </c>
      <c r="G139" t="s">
        <v>2253</v>
      </c>
    </row>
    <row r="140" spans="1:7" x14ac:dyDescent="0.25">
      <c r="A140" s="26">
        <v>11036</v>
      </c>
      <c r="B140" s="26"/>
      <c r="C140" s="31" t="s">
        <v>2388</v>
      </c>
      <c r="D140" s="31" t="s">
        <v>588</v>
      </c>
      <c r="E140" s="31" t="s">
        <v>11</v>
      </c>
      <c r="F140" t="s">
        <v>19</v>
      </c>
      <c r="G140" t="s">
        <v>2253</v>
      </c>
    </row>
    <row r="141" spans="1:7" x14ac:dyDescent="0.25">
      <c r="A141" s="26">
        <v>11197</v>
      </c>
      <c r="B141" s="26"/>
      <c r="C141" s="31" t="s">
        <v>2389</v>
      </c>
      <c r="D141" s="31" t="s">
        <v>588</v>
      </c>
      <c r="E141" s="31" t="s">
        <v>11</v>
      </c>
      <c r="F141" t="s">
        <v>19</v>
      </c>
      <c r="G141" t="s">
        <v>2253</v>
      </c>
    </row>
    <row r="142" spans="1:7" x14ac:dyDescent="0.25">
      <c r="A142" s="26">
        <v>11339</v>
      </c>
      <c r="B142" s="26"/>
      <c r="C142" s="31" t="s">
        <v>2390</v>
      </c>
      <c r="D142" s="31" t="s">
        <v>588</v>
      </c>
      <c r="E142" s="31" t="s">
        <v>11</v>
      </c>
      <c r="F142" t="s">
        <v>19</v>
      </c>
      <c r="G142" t="s">
        <v>2253</v>
      </c>
    </row>
    <row r="143" spans="1:7" x14ac:dyDescent="0.25">
      <c r="A143" s="26">
        <v>11578</v>
      </c>
      <c r="B143" s="26"/>
      <c r="C143" s="31" t="s">
        <v>2391</v>
      </c>
      <c r="D143" s="31" t="s">
        <v>588</v>
      </c>
      <c r="E143" s="31" t="s">
        <v>11</v>
      </c>
      <c r="F143" t="s">
        <v>19</v>
      </c>
      <c r="G143" t="s">
        <v>2253</v>
      </c>
    </row>
    <row r="144" spans="1:7" x14ac:dyDescent="0.25">
      <c r="A144" s="26">
        <v>11634</v>
      </c>
      <c r="B144" s="26"/>
      <c r="C144" s="31" t="s">
        <v>2392</v>
      </c>
      <c r="D144" s="31" t="s">
        <v>588</v>
      </c>
      <c r="E144" s="31" t="s">
        <v>11</v>
      </c>
      <c r="F144" t="s">
        <v>19</v>
      </c>
      <c r="G144" t="s">
        <v>2253</v>
      </c>
    </row>
    <row r="145" spans="1:7" x14ac:dyDescent="0.25">
      <c r="A145" s="26">
        <v>11913</v>
      </c>
      <c r="B145" s="26"/>
      <c r="C145" s="31" t="s">
        <v>2393</v>
      </c>
      <c r="D145" s="31" t="s">
        <v>588</v>
      </c>
      <c r="E145" s="31" t="s">
        <v>11</v>
      </c>
      <c r="F145" t="s">
        <v>19</v>
      </c>
      <c r="G145" t="s">
        <v>2253</v>
      </c>
    </row>
    <row r="146" spans="1:7" x14ac:dyDescent="0.25">
      <c r="A146" s="26">
        <v>11977</v>
      </c>
      <c r="B146" s="26"/>
      <c r="C146" s="31" t="s">
        <v>2394</v>
      </c>
      <c r="D146" s="31" t="s">
        <v>588</v>
      </c>
      <c r="E146" s="31" t="s">
        <v>11</v>
      </c>
      <c r="F146" t="s">
        <v>19</v>
      </c>
      <c r="G146" t="s">
        <v>2253</v>
      </c>
    </row>
    <row r="147" spans="1:7" x14ac:dyDescent="0.25">
      <c r="A147" s="26">
        <v>12319</v>
      </c>
      <c r="B147" s="26"/>
      <c r="C147" s="31" t="s">
        <v>2395</v>
      </c>
      <c r="D147" s="31" t="s">
        <v>588</v>
      </c>
      <c r="E147" s="31" t="s">
        <v>11</v>
      </c>
      <c r="F147" t="s">
        <v>19</v>
      </c>
      <c r="G147" t="s">
        <v>2253</v>
      </c>
    </row>
    <row r="148" spans="1:7" x14ac:dyDescent="0.25">
      <c r="A148" s="26">
        <v>11062</v>
      </c>
      <c r="B148" s="26"/>
      <c r="C148" s="31" t="s">
        <v>2375</v>
      </c>
      <c r="D148" s="31" t="s">
        <v>618</v>
      </c>
      <c r="E148" s="31" t="s">
        <v>11</v>
      </c>
      <c r="F148" t="s">
        <v>19</v>
      </c>
      <c r="G148" t="s">
        <v>2253</v>
      </c>
    </row>
    <row r="149" spans="1:7" x14ac:dyDescent="0.25">
      <c r="A149" s="26">
        <v>11098</v>
      </c>
      <c r="B149" s="26"/>
      <c r="C149" s="31" t="s">
        <v>2376</v>
      </c>
      <c r="D149" s="31" t="s">
        <v>618</v>
      </c>
      <c r="E149" s="31" t="s">
        <v>11</v>
      </c>
      <c r="F149" t="s">
        <v>19</v>
      </c>
      <c r="G149" t="s">
        <v>2253</v>
      </c>
    </row>
    <row r="150" spans="1:7" x14ac:dyDescent="0.25">
      <c r="A150" s="26">
        <v>11140</v>
      </c>
      <c r="B150" s="26"/>
      <c r="C150" s="31" t="s">
        <v>2377</v>
      </c>
      <c r="D150" s="31" t="s">
        <v>618</v>
      </c>
      <c r="E150" s="31" t="s">
        <v>11</v>
      </c>
      <c r="F150" t="s">
        <v>19</v>
      </c>
      <c r="G150" t="s">
        <v>2253</v>
      </c>
    </row>
    <row r="151" spans="1:7" x14ac:dyDescent="0.25">
      <c r="A151" s="26">
        <v>11174</v>
      </c>
      <c r="B151" s="26"/>
      <c r="C151" s="31" t="s">
        <v>2378</v>
      </c>
      <c r="D151" s="31" t="s">
        <v>618</v>
      </c>
      <c r="E151" s="31" t="s">
        <v>11</v>
      </c>
      <c r="F151" t="s">
        <v>19</v>
      </c>
      <c r="G151" t="s">
        <v>2253</v>
      </c>
    </row>
    <row r="152" spans="1:7" x14ac:dyDescent="0.25">
      <c r="A152" s="26">
        <v>11199</v>
      </c>
      <c r="B152" s="26"/>
      <c r="C152" s="31" t="s">
        <v>2379</v>
      </c>
      <c r="D152" s="31" t="s">
        <v>618</v>
      </c>
      <c r="E152" s="31" t="s">
        <v>11</v>
      </c>
      <c r="F152" t="s">
        <v>19</v>
      </c>
      <c r="G152" t="s">
        <v>2253</v>
      </c>
    </row>
    <row r="153" spans="1:7" x14ac:dyDescent="0.25">
      <c r="A153" s="26">
        <v>11583</v>
      </c>
      <c r="B153" s="26"/>
      <c r="C153" s="31" t="s">
        <v>2380</v>
      </c>
      <c r="D153" s="31" t="s">
        <v>618</v>
      </c>
      <c r="E153" s="31" t="s">
        <v>11</v>
      </c>
      <c r="F153" t="s">
        <v>19</v>
      </c>
      <c r="G153" t="s">
        <v>2253</v>
      </c>
    </row>
    <row r="154" spans="1:7" x14ac:dyDescent="0.25">
      <c r="A154" s="26">
        <v>11743</v>
      </c>
      <c r="B154" s="26"/>
      <c r="C154" s="31" t="s">
        <v>2381</v>
      </c>
      <c r="D154" s="31" t="s">
        <v>618</v>
      </c>
      <c r="E154" s="31" t="s">
        <v>11</v>
      </c>
      <c r="F154" t="s">
        <v>19</v>
      </c>
      <c r="G154" t="s">
        <v>2253</v>
      </c>
    </row>
    <row r="155" spans="1:7" x14ac:dyDescent="0.25">
      <c r="A155" s="26">
        <v>11828</v>
      </c>
      <c r="B155" s="26"/>
      <c r="C155" s="31" t="s">
        <v>2382</v>
      </c>
      <c r="D155" s="31" t="s">
        <v>618</v>
      </c>
      <c r="E155" s="31" t="s">
        <v>11</v>
      </c>
      <c r="F155" t="s">
        <v>19</v>
      </c>
      <c r="G155" t="s">
        <v>2253</v>
      </c>
    </row>
    <row r="156" spans="1:7" x14ac:dyDescent="0.25">
      <c r="A156" s="26">
        <v>11944</v>
      </c>
      <c r="B156" s="26"/>
      <c r="C156" s="31" t="s">
        <v>2383</v>
      </c>
      <c r="D156" s="31" t="s">
        <v>618</v>
      </c>
      <c r="E156" s="31" t="s">
        <v>11</v>
      </c>
      <c r="F156" t="s">
        <v>19</v>
      </c>
      <c r="G156" t="s">
        <v>2253</v>
      </c>
    </row>
    <row r="157" spans="1:7" x14ac:dyDescent="0.25">
      <c r="A157" s="26">
        <v>12300</v>
      </c>
      <c r="B157" s="26"/>
      <c r="C157" s="31" t="s">
        <v>2384</v>
      </c>
      <c r="D157" s="31" t="s">
        <v>618</v>
      </c>
      <c r="E157" s="31" t="s">
        <v>11</v>
      </c>
      <c r="F157" t="s">
        <v>19</v>
      </c>
      <c r="G157" t="s">
        <v>2253</v>
      </c>
    </row>
    <row r="158" spans="1:7" x14ac:dyDescent="0.25">
      <c r="A158" s="15">
        <v>12376</v>
      </c>
      <c r="B158" s="15"/>
      <c r="C158" s="31" t="s">
        <v>2385</v>
      </c>
      <c r="D158" s="31" t="s">
        <v>618</v>
      </c>
      <c r="E158" s="16" t="s">
        <v>11</v>
      </c>
      <c r="F158" t="s">
        <v>19</v>
      </c>
      <c r="G158" t="s">
        <v>2253</v>
      </c>
    </row>
    <row r="159" spans="1:7" x14ac:dyDescent="0.25">
      <c r="A159" s="26">
        <v>11004</v>
      </c>
      <c r="B159" s="26"/>
      <c r="C159" s="31" t="s">
        <v>2396</v>
      </c>
      <c r="D159" s="31" t="s">
        <v>646</v>
      </c>
      <c r="E159" s="31" t="s">
        <v>11</v>
      </c>
      <c r="F159" t="s">
        <v>19</v>
      </c>
      <c r="G159" t="s">
        <v>2253</v>
      </c>
    </row>
    <row r="160" spans="1:7" x14ac:dyDescent="0.25">
      <c r="A160" s="26">
        <v>11022</v>
      </c>
      <c r="B160" s="26"/>
      <c r="C160" s="31" t="s">
        <v>2397</v>
      </c>
      <c r="D160" s="31" t="s">
        <v>646</v>
      </c>
      <c r="E160" s="31" t="s">
        <v>11</v>
      </c>
      <c r="F160" t="s">
        <v>19</v>
      </c>
      <c r="G160" t="s">
        <v>2253</v>
      </c>
    </row>
    <row r="161" spans="1:7" x14ac:dyDescent="0.25">
      <c r="A161" s="26">
        <v>11066</v>
      </c>
      <c r="B161" s="26"/>
      <c r="C161" s="31" t="s">
        <v>2398</v>
      </c>
      <c r="D161" s="31" t="s">
        <v>646</v>
      </c>
      <c r="E161" s="31" t="s">
        <v>11</v>
      </c>
      <c r="F161" t="s">
        <v>19</v>
      </c>
      <c r="G161" t="s">
        <v>2253</v>
      </c>
    </row>
    <row r="162" spans="1:7" x14ac:dyDescent="0.25">
      <c r="A162" s="26">
        <v>11124</v>
      </c>
      <c r="B162" s="26"/>
      <c r="C162" s="31" t="s">
        <v>2399</v>
      </c>
      <c r="D162" s="31" t="s">
        <v>646</v>
      </c>
      <c r="E162" s="31" t="s">
        <v>11</v>
      </c>
      <c r="F162" t="s">
        <v>19</v>
      </c>
      <c r="G162" t="s">
        <v>2253</v>
      </c>
    </row>
    <row r="163" spans="1:7" x14ac:dyDescent="0.25">
      <c r="A163" s="26">
        <v>11126</v>
      </c>
      <c r="B163" s="26"/>
      <c r="C163" s="31" t="s">
        <v>2400</v>
      </c>
      <c r="D163" s="31" t="s">
        <v>646</v>
      </c>
      <c r="E163" s="31" t="s">
        <v>11</v>
      </c>
      <c r="F163" t="s">
        <v>19</v>
      </c>
      <c r="G163" t="s">
        <v>2253</v>
      </c>
    </row>
    <row r="164" spans="1:7" x14ac:dyDescent="0.25">
      <c r="A164" s="26">
        <v>11233</v>
      </c>
      <c r="B164" s="26"/>
      <c r="C164" s="31" t="s">
        <v>2401</v>
      </c>
      <c r="D164" s="31" t="s">
        <v>646</v>
      </c>
      <c r="E164" s="31" t="s">
        <v>11</v>
      </c>
      <c r="F164" t="s">
        <v>19</v>
      </c>
      <c r="G164" t="s">
        <v>2253</v>
      </c>
    </row>
    <row r="165" spans="1:7" x14ac:dyDescent="0.25">
      <c r="A165" s="26">
        <v>11255</v>
      </c>
      <c r="B165" s="26"/>
      <c r="C165" s="31" t="s">
        <v>2402</v>
      </c>
      <c r="D165" s="31" t="s">
        <v>646</v>
      </c>
      <c r="E165" s="31" t="s">
        <v>11</v>
      </c>
      <c r="F165" t="s">
        <v>19</v>
      </c>
      <c r="G165" t="s">
        <v>2253</v>
      </c>
    </row>
    <row r="166" spans="1:7" x14ac:dyDescent="0.25">
      <c r="A166" s="26">
        <v>11264</v>
      </c>
      <c r="B166" s="26"/>
      <c r="C166" s="31" t="s">
        <v>2403</v>
      </c>
      <c r="D166" s="31" t="s">
        <v>646</v>
      </c>
      <c r="E166" s="31" t="s">
        <v>11</v>
      </c>
      <c r="F166" t="s">
        <v>19</v>
      </c>
      <c r="G166" t="s">
        <v>2253</v>
      </c>
    </row>
    <row r="167" spans="1:7" x14ac:dyDescent="0.25">
      <c r="A167" s="26">
        <v>12320</v>
      </c>
      <c r="B167" s="26"/>
      <c r="C167" s="31" t="s">
        <v>2404</v>
      </c>
      <c r="D167" s="31" t="s">
        <v>646</v>
      </c>
      <c r="E167" s="31" t="s">
        <v>11</v>
      </c>
      <c r="F167" t="s">
        <v>19</v>
      </c>
      <c r="G167" t="s">
        <v>2253</v>
      </c>
    </row>
    <row r="168" spans="1:7" x14ac:dyDescent="0.25">
      <c r="A168" s="26">
        <v>11019</v>
      </c>
      <c r="B168" s="26"/>
      <c r="C168" s="31" t="s">
        <v>2414</v>
      </c>
      <c r="D168" s="31" t="s">
        <v>675</v>
      </c>
      <c r="E168" s="31" t="s">
        <v>11</v>
      </c>
      <c r="F168" t="s">
        <v>19</v>
      </c>
      <c r="G168" t="s">
        <v>2253</v>
      </c>
    </row>
    <row r="169" spans="1:7" x14ac:dyDescent="0.25">
      <c r="A169" s="26">
        <v>11061</v>
      </c>
      <c r="B169" s="26"/>
      <c r="C169" s="31" t="s">
        <v>2415</v>
      </c>
      <c r="D169" s="31" t="s">
        <v>675</v>
      </c>
      <c r="E169" s="31" t="s">
        <v>11</v>
      </c>
      <c r="F169" t="s">
        <v>19</v>
      </c>
      <c r="G169" t="s">
        <v>2253</v>
      </c>
    </row>
    <row r="170" spans="1:7" x14ac:dyDescent="0.25">
      <c r="A170" s="26">
        <v>11198</v>
      </c>
      <c r="B170" s="26"/>
      <c r="C170" s="31" t="s">
        <v>2416</v>
      </c>
      <c r="D170" s="31" t="s">
        <v>675</v>
      </c>
      <c r="E170" s="31" t="s">
        <v>11</v>
      </c>
      <c r="F170" t="s">
        <v>19</v>
      </c>
      <c r="G170" t="s">
        <v>2253</v>
      </c>
    </row>
    <row r="171" spans="1:7" x14ac:dyDescent="0.25">
      <c r="A171" s="26">
        <v>11208</v>
      </c>
      <c r="B171" s="26"/>
      <c r="C171" s="31" t="s">
        <v>2417</v>
      </c>
      <c r="D171" s="31" t="s">
        <v>675</v>
      </c>
      <c r="E171" s="31" t="s">
        <v>11</v>
      </c>
      <c r="F171" t="s">
        <v>19</v>
      </c>
      <c r="G171" t="s">
        <v>2253</v>
      </c>
    </row>
    <row r="172" spans="1:7" x14ac:dyDescent="0.25">
      <c r="A172" s="26">
        <v>11307</v>
      </c>
      <c r="B172" s="26"/>
      <c r="C172" s="31" t="s">
        <v>2418</v>
      </c>
      <c r="D172" s="31" t="s">
        <v>675</v>
      </c>
      <c r="E172" s="31" t="s">
        <v>11</v>
      </c>
      <c r="F172" t="s">
        <v>19</v>
      </c>
      <c r="G172" t="s">
        <v>2253</v>
      </c>
    </row>
    <row r="173" spans="1:7" x14ac:dyDescent="0.25">
      <c r="A173" s="26">
        <v>11334</v>
      </c>
      <c r="B173" s="26"/>
      <c r="C173" s="31" t="s">
        <v>2419</v>
      </c>
      <c r="D173" s="31" t="s">
        <v>675</v>
      </c>
      <c r="E173" s="31" t="s">
        <v>11</v>
      </c>
      <c r="F173" t="s">
        <v>19</v>
      </c>
      <c r="G173" t="s">
        <v>2253</v>
      </c>
    </row>
    <row r="174" spans="1:7" x14ac:dyDescent="0.25">
      <c r="A174" s="26">
        <v>11342</v>
      </c>
      <c r="B174" s="26"/>
      <c r="C174" s="31" t="s">
        <v>2420</v>
      </c>
      <c r="D174" s="31" t="s">
        <v>675</v>
      </c>
      <c r="E174" s="31" t="s">
        <v>11</v>
      </c>
      <c r="F174" t="s">
        <v>19</v>
      </c>
      <c r="G174" t="s">
        <v>2253</v>
      </c>
    </row>
    <row r="175" spans="1:7" x14ac:dyDescent="0.25">
      <c r="A175" s="26">
        <v>11382</v>
      </c>
      <c r="B175" s="26"/>
      <c r="C175" s="31" t="s">
        <v>2421</v>
      </c>
      <c r="D175" s="31" t="s">
        <v>675</v>
      </c>
      <c r="E175" s="31" t="s">
        <v>11</v>
      </c>
      <c r="F175" t="s">
        <v>19</v>
      </c>
      <c r="G175" t="s">
        <v>2253</v>
      </c>
    </row>
    <row r="176" spans="1:7" x14ac:dyDescent="0.25">
      <c r="A176" s="26">
        <v>11574</v>
      </c>
      <c r="B176" s="26"/>
      <c r="C176" s="31" t="s">
        <v>2422</v>
      </c>
      <c r="D176" s="31" t="s">
        <v>675</v>
      </c>
      <c r="E176" s="31" t="s">
        <v>11</v>
      </c>
      <c r="F176" t="s">
        <v>19</v>
      </c>
      <c r="G176" t="s">
        <v>2253</v>
      </c>
    </row>
    <row r="177" spans="1:7" x14ac:dyDescent="0.25">
      <c r="A177" s="26">
        <v>11630</v>
      </c>
      <c r="B177" s="26"/>
      <c r="C177" s="31" t="s">
        <v>2423</v>
      </c>
      <c r="D177" s="31" t="s">
        <v>675</v>
      </c>
      <c r="E177" s="31" t="s">
        <v>11</v>
      </c>
      <c r="F177" t="s">
        <v>19</v>
      </c>
      <c r="G177" t="s">
        <v>2253</v>
      </c>
    </row>
    <row r="178" spans="1:7" x14ac:dyDescent="0.25">
      <c r="A178" s="26">
        <v>11865</v>
      </c>
      <c r="B178" s="26"/>
      <c r="C178" s="31" t="s">
        <v>2424</v>
      </c>
      <c r="D178" s="31" t="s">
        <v>675</v>
      </c>
      <c r="E178" s="31" t="s">
        <v>11</v>
      </c>
      <c r="F178" t="s">
        <v>19</v>
      </c>
      <c r="G178" t="s">
        <v>2253</v>
      </c>
    </row>
    <row r="179" spans="1:7" x14ac:dyDescent="0.25">
      <c r="A179" s="26">
        <v>12350</v>
      </c>
      <c r="B179" s="26"/>
      <c r="C179" s="31" t="s">
        <v>2425</v>
      </c>
      <c r="D179" s="31" t="s">
        <v>675</v>
      </c>
      <c r="E179" s="31" t="s">
        <v>11</v>
      </c>
      <c r="F179" t="s">
        <v>19</v>
      </c>
      <c r="G179" t="s">
        <v>2253</v>
      </c>
    </row>
    <row r="180" spans="1:7" x14ac:dyDescent="0.25">
      <c r="A180" s="15">
        <v>12374</v>
      </c>
      <c r="B180" s="15"/>
      <c r="C180" s="31" t="s">
        <v>2426</v>
      </c>
      <c r="D180" s="31" t="s">
        <v>675</v>
      </c>
      <c r="E180" s="16" t="s">
        <v>11</v>
      </c>
      <c r="F180" t="s">
        <v>19</v>
      </c>
      <c r="G180" t="s">
        <v>2253</v>
      </c>
    </row>
    <row r="181" spans="1:7" x14ac:dyDescent="0.25">
      <c r="A181" s="26">
        <v>11110</v>
      </c>
      <c r="B181" s="26"/>
      <c r="C181" s="31" t="s">
        <v>2427</v>
      </c>
      <c r="D181" s="31" t="s">
        <v>714</v>
      </c>
      <c r="E181" s="31" t="s">
        <v>11</v>
      </c>
      <c r="F181" t="s">
        <v>19</v>
      </c>
      <c r="G181" t="s">
        <v>2253</v>
      </c>
    </row>
    <row r="182" spans="1:7" x14ac:dyDescent="0.25">
      <c r="A182" s="26">
        <v>11223</v>
      </c>
      <c r="B182" s="26"/>
      <c r="C182" s="31" t="s">
        <v>2428</v>
      </c>
      <c r="D182" s="31" t="s">
        <v>714</v>
      </c>
      <c r="E182" s="31" t="s">
        <v>11</v>
      </c>
      <c r="F182" t="s">
        <v>19</v>
      </c>
      <c r="G182" t="s">
        <v>2253</v>
      </c>
    </row>
    <row r="183" spans="1:7" x14ac:dyDescent="0.25">
      <c r="A183" s="26">
        <v>11251</v>
      </c>
      <c r="B183" s="26"/>
      <c r="C183" s="31" t="s">
        <v>2429</v>
      </c>
      <c r="D183" s="31" t="s">
        <v>714</v>
      </c>
      <c r="E183" s="31" t="s">
        <v>11</v>
      </c>
      <c r="F183" t="s">
        <v>19</v>
      </c>
      <c r="G183" t="s">
        <v>2253</v>
      </c>
    </row>
    <row r="184" spans="1:7" x14ac:dyDescent="0.25">
      <c r="A184" s="26">
        <v>11320</v>
      </c>
      <c r="B184" s="26"/>
      <c r="C184" s="31" t="s">
        <v>2430</v>
      </c>
      <c r="D184" s="31" t="s">
        <v>714</v>
      </c>
      <c r="E184" s="31" t="s">
        <v>11</v>
      </c>
      <c r="F184" t="s">
        <v>19</v>
      </c>
      <c r="G184" t="s">
        <v>2253</v>
      </c>
    </row>
    <row r="185" spans="1:7" x14ac:dyDescent="0.25">
      <c r="A185" s="26">
        <v>11419</v>
      </c>
      <c r="B185" s="26"/>
      <c r="C185" s="31" t="s">
        <v>2431</v>
      </c>
      <c r="D185" s="31" t="s">
        <v>714</v>
      </c>
      <c r="E185" s="31" t="s">
        <v>11</v>
      </c>
      <c r="F185" t="s">
        <v>19</v>
      </c>
      <c r="G185" t="s">
        <v>2253</v>
      </c>
    </row>
    <row r="186" spans="1:7" x14ac:dyDescent="0.25">
      <c r="A186" s="26">
        <v>11420</v>
      </c>
      <c r="B186" s="26"/>
      <c r="C186" s="31" t="s">
        <v>2432</v>
      </c>
      <c r="D186" s="31" t="s">
        <v>714</v>
      </c>
      <c r="E186" s="31" t="s">
        <v>11</v>
      </c>
      <c r="F186" t="s">
        <v>19</v>
      </c>
      <c r="G186" t="s">
        <v>2253</v>
      </c>
    </row>
    <row r="187" spans="1:7" x14ac:dyDescent="0.25">
      <c r="A187" s="26">
        <v>11463</v>
      </c>
      <c r="B187" s="26"/>
      <c r="C187" s="31" t="s">
        <v>2433</v>
      </c>
      <c r="D187" s="31" t="s">
        <v>714</v>
      </c>
      <c r="E187" s="31" t="s">
        <v>11</v>
      </c>
      <c r="F187" t="s">
        <v>19</v>
      </c>
      <c r="G187" t="s">
        <v>2253</v>
      </c>
    </row>
    <row r="188" spans="1:7" x14ac:dyDescent="0.25">
      <c r="A188" s="26">
        <v>11601</v>
      </c>
      <c r="B188" s="26"/>
      <c r="C188" s="31" t="s">
        <v>2434</v>
      </c>
      <c r="D188" s="31" t="s">
        <v>714</v>
      </c>
      <c r="E188" s="31" t="s">
        <v>11</v>
      </c>
      <c r="F188" t="s">
        <v>19</v>
      </c>
      <c r="G188" t="s">
        <v>2253</v>
      </c>
    </row>
    <row r="189" spans="1:7" x14ac:dyDescent="0.25">
      <c r="A189" s="26">
        <v>11955</v>
      </c>
      <c r="B189" s="26"/>
      <c r="C189" s="31" t="s">
        <v>2435</v>
      </c>
      <c r="D189" s="31" t="s">
        <v>714</v>
      </c>
      <c r="E189" s="31" t="s">
        <v>11</v>
      </c>
      <c r="F189" t="s">
        <v>19</v>
      </c>
      <c r="G189" t="s">
        <v>2253</v>
      </c>
    </row>
    <row r="190" spans="1:7" x14ac:dyDescent="0.25">
      <c r="A190" s="26">
        <v>11021</v>
      </c>
      <c r="B190" s="26"/>
      <c r="C190" s="31" t="s">
        <v>2368</v>
      </c>
      <c r="D190" s="31" t="s">
        <v>745</v>
      </c>
      <c r="E190" s="31" t="s">
        <v>11</v>
      </c>
      <c r="F190" t="s">
        <v>19</v>
      </c>
      <c r="G190" t="s">
        <v>2253</v>
      </c>
    </row>
    <row r="191" spans="1:7" x14ac:dyDescent="0.25">
      <c r="A191" s="26">
        <v>11029</v>
      </c>
      <c r="B191" s="26"/>
      <c r="C191" s="31" t="s">
        <v>395</v>
      </c>
      <c r="D191" s="31" t="s">
        <v>745</v>
      </c>
      <c r="E191" s="31" t="s">
        <v>11</v>
      </c>
      <c r="F191" t="s">
        <v>19</v>
      </c>
      <c r="G191" t="s">
        <v>2253</v>
      </c>
    </row>
    <row r="192" spans="1:7" x14ac:dyDescent="0.25">
      <c r="A192" s="26">
        <v>11172</v>
      </c>
      <c r="B192" s="26"/>
      <c r="C192" s="31" t="s">
        <v>2369</v>
      </c>
      <c r="D192" s="31" t="s">
        <v>745</v>
      </c>
      <c r="E192" s="31" t="s">
        <v>11</v>
      </c>
      <c r="F192" t="s">
        <v>19</v>
      </c>
      <c r="G192" t="s">
        <v>2253</v>
      </c>
    </row>
    <row r="193" spans="1:7" x14ac:dyDescent="0.25">
      <c r="A193" s="26">
        <v>11335</v>
      </c>
      <c r="B193" s="26"/>
      <c r="C193" s="31" t="s">
        <v>2370</v>
      </c>
      <c r="D193" s="31" t="s">
        <v>745</v>
      </c>
      <c r="E193" s="31" t="s">
        <v>11</v>
      </c>
      <c r="F193" t="s">
        <v>19</v>
      </c>
      <c r="G193" t="s">
        <v>2253</v>
      </c>
    </row>
    <row r="194" spans="1:7" x14ac:dyDescent="0.25">
      <c r="A194" s="26">
        <v>11447</v>
      </c>
      <c r="B194" s="26"/>
      <c r="C194" s="31" t="s">
        <v>2371</v>
      </c>
      <c r="D194" s="31" t="s">
        <v>745</v>
      </c>
      <c r="E194" s="31" t="s">
        <v>11</v>
      </c>
      <c r="F194" t="s">
        <v>19</v>
      </c>
      <c r="G194" t="s">
        <v>2253</v>
      </c>
    </row>
    <row r="195" spans="1:7" x14ac:dyDescent="0.25">
      <c r="A195" s="26">
        <v>11530</v>
      </c>
      <c r="B195" s="26"/>
      <c r="C195" s="31" t="s">
        <v>2372</v>
      </c>
      <c r="D195" s="31" t="s">
        <v>745</v>
      </c>
      <c r="E195" s="31" t="s">
        <v>11</v>
      </c>
      <c r="F195" t="s">
        <v>19</v>
      </c>
      <c r="G195" t="s">
        <v>2253</v>
      </c>
    </row>
    <row r="196" spans="1:7" x14ac:dyDescent="0.25">
      <c r="A196" s="26">
        <v>11565</v>
      </c>
      <c r="B196" s="26"/>
      <c r="C196" s="31" t="s">
        <v>2373</v>
      </c>
      <c r="D196" s="31" t="s">
        <v>745</v>
      </c>
      <c r="E196" s="31" t="s">
        <v>11</v>
      </c>
      <c r="F196" t="s">
        <v>19</v>
      </c>
      <c r="G196" t="s">
        <v>2253</v>
      </c>
    </row>
    <row r="197" spans="1:7" x14ac:dyDescent="0.25">
      <c r="A197" s="26">
        <v>11622</v>
      </c>
      <c r="B197" s="26"/>
      <c r="C197" s="31" t="s">
        <v>395</v>
      </c>
      <c r="D197" s="31" t="s">
        <v>745</v>
      </c>
      <c r="E197" s="31" t="s">
        <v>11</v>
      </c>
      <c r="F197" t="s">
        <v>19</v>
      </c>
      <c r="G197" t="s">
        <v>2253</v>
      </c>
    </row>
    <row r="198" spans="1:7" x14ac:dyDescent="0.25">
      <c r="A198" s="26">
        <v>12365</v>
      </c>
      <c r="B198" s="26"/>
      <c r="C198" s="31" t="s">
        <v>2374</v>
      </c>
      <c r="D198" s="31" t="s">
        <v>745</v>
      </c>
      <c r="E198" s="31" t="s">
        <v>11</v>
      </c>
      <c r="F198" t="s">
        <v>19</v>
      </c>
      <c r="G198" t="s">
        <v>2253</v>
      </c>
    </row>
    <row r="199" spans="1:7" x14ac:dyDescent="0.25">
      <c r="A199" s="26">
        <v>11138</v>
      </c>
      <c r="B199" s="26"/>
      <c r="C199" s="31" t="s">
        <v>2041</v>
      </c>
      <c r="D199" s="31" t="s">
        <v>773</v>
      </c>
      <c r="E199" s="31" t="s">
        <v>13</v>
      </c>
      <c r="F199" t="s">
        <v>2254</v>
      </c>
      <c r="G199" t="s">
        <v>2253</v>
      </c>
    </row>
    <row r="200" spans="1:7" x14ac:dyDescent="0.25">
      <c r="A200" s="26">
        <v>11229</v>
      </c>
      <c r="B200" s="26"/>
      <c r="C200" s="31" t="s">
        <v>2045</v>
      </c>
      <c r="D200" s="31" t="s">
        <v>773</v>
      </c>
      <c r="E200" s="31" t="s">
        <v>13</v>
      </c>
      <c r="F200" t="s">
        <v>2254</v>
      </c>
      <c r="G200" t="s">
        <v>2253</v>
      </c>
    </row>
    <row r="201" spans="1:7" x14ac:dyDescent="0.25">
      <c r="A201" s="26">
        <v>11260</v>
      </c>
      <c r="B201" s="26"/>
      <c r="C201" s="31" t="s">
        <v>2046</v>
      </c>
      <c r="D201" s="31" t="s">
        <v>773</v>
      </c>
      <c r="E201" s="31" t="s">
        <v>13</v>
      </c>
      <c r="F201" t="s">
        <v>2254</v>
      </c>
      <c r="G201" t="s">
        <v>2253</v>
      </c>
    </row>
    <row r="202" spans="1:7" x14ac:dyDescent="0.25">
      <c r="A202" s="26">
        <v>11281</v>
      </c>
      <c r="B202" s="26"/>
      <c r="C202" s="31" t="s">
        <v>2047</v>
      </c>
      <c r="D202" s="31" t="s">
        <v>773</v>
      </c>
      <c r="E202" s="31" t="s">
        <v>13</v>
      </c>
      <c r="F202" t="s">
        <v>2254</v>
      </c>
      <c r="G202" t="s">
        <v>2253</v>
      </c>
    </row>
    <row r="203" spans="1:7" x14ac:dyDescent="0.25">
      <c r="A203" s="26">
        <v>11421</v>
      </c>
      <c r="B203" s="26"/>
      <c r="C203" s="31" t="s">
        <v>2048</v>
      </c>
      <c r="D203" s="31" t="s">
        <v>773</v>
      </c>
      <c r="E203" s="31" t="s">
        <v>13</v>
      </c>
      <c r="F203" t="s">
        <v>2254</v>
      </c>
      <c r="G203" t="s">
        <v>2253</v>
      </c>
    </row>
    <row r="204" spans="1:7" x14ac:dyDescent="0.25">
      <c r="A204" s="26">
        <v>11525</v>
      </c>
      <c r="B204" s="26"/>
      <c r="C204" s="31" t="s">
        <v>2049</v>
      </c>
      <c r="D204" s="31" t="s">
        <v>773</v>
      </c>
      <c r="E204" s="31" t="s">
        <v>13</v>
      </c>
      <c r="F204" t="s">
        <v>2254</v>
      </c>
      <c r="G204" t="s">
        <v>2253</v>
      </c>
    </row>
    <row r="205" spans="1:7" x14ac:dyDescent="0.25">
      <c r="A205" s="26">
        <v>11904</v>
      </c>
      <c r="B205" s="26"/>
      <c r="C205" s="31" t="s">
        <v>2050</v>
      </c>
      <c r="D205" s="31" t="s">
        <v>773</v>
      </c>
      <c r="E205" s="31" t="s">
        <v>13</v>
      </c>
      <c r="F205" t="s">
        <v>2254</v>
      </c>
      <c r="G205" t="s">
        <v>2253</v>
      </c>
    </row>
    <row r="206" spans="1:7" x14ac:dyDescent="0.25">
      <c r="A206" s="26">
        <v>11151</v>
      </c>
      <c r="B206" s="26"/>
      <c r="C206" s="31" t="s">
        <v>2103</v>
      </c>
      <c r="D206" s="31" t="s">
        <v>802</v>
      </c>
      <c r="E206" s="31" t="s">
        <v>13</v>
      </c>
      <c r="F206" t="s">
        <v>2254</v>
      </c>
      <c r="G206" t="s">
        <v>2253</v>
      </c>
    </row>
    <row r="207" spans="1:7" x14ac:dyDescent="0.25">
      <c r="A207" s="26">
        <v>11201</v>
      </c>
      <c r="B207" s="26"/>
      <c r="C207" s="31" t="s">
        <v>2051</v>
      </c>
      <c r="D207" s="31" t="s">
        <v>802</v>
      </c>
      <c r="E207" s="31" t="s">
        <v>13</v>
      </c>
      <c r="F207" t="s">
        <v>2254</v>
      </c>
      <c r="G207" t="s">
        <v>2253</v>
      </c>
    </row>
    <row r="208" spans="1:7" x14ac:dyDescent="0.25">
      <c r="A208" s="26">
        <v>11567</v>
      </c>
      <c r="B208" s="26"/>
      <c r="C208" s="31" t="s">
        <v>2104</v>
      </c>
      <c r="D208" s="31" t="s">
        <v>802</v>
      </c>
      <c r="E208" s="31" t="s">
        <v>13</v>
      </c>
      <c r="F208" t="s">
        <v>2254</v>
      </c>
      <c r="G208" t="s">
        <v>2253</v>
      </c>
    </row>
    <row r="209" spans="1:7" x14ac:dyDescent="0.25">
      <c r="A209" s="26">
        <v>11888</v>
      </c>
      <c r="B209" s="26"/>
      <c r="C209" s="31" t="s">
        <v>2105</v>
      </c>
      <c r="D209" s="31" t="s">
        <v>802</v>
      </c>
      <c r="E209" s="31" t="s">
        <v>13</v>
      </c>
      <c r="F209" t="s">
        <v>2254</v>
      </c>
      <c r="G209" t="s">
        <v>2253</v>
      </c>
    </row>
    <row r="210" spans="1:7" x14ac:dyDescent="0.25">
      <c r="A210" s="26">
        <v>11074</v>
      </c>
      <c r="B210" s="26"/>
      <c r="C210" s="31" t="s">
        <v>2052</v>
      </c>
      <c r="D210" s="31" t="s">
        <v>820</v>
      </c>
      <c r="E210" s="31" t="s">
        <v>13</v>
      </c>
      <c r="F210" t="s">
        <v>2254</v>
      </c>
      <c r="G210" t="s">
        <v>2253</v>
      </c>
    </row>
    <row r="211" spans="1:7" x14ac:dyDescent="0.25">
      <c r="A211" s="26">
        <v>11231</v>
      </c>
      <c r="B211" s="26"/>
      <c r="C211" s="31" t="s">
        <v>2053</v>
      </c>
      <c r="D211" s="31" t="s">
        <v>820</v>
      </c>
      <c r="E211" s="31" t="s">
        <v>13</v>
      </c>
      <c r="F211" t="s">
        <v>2254</v>
      </c>
      <c r="G211" t="s">
        <v>2253</v>
      </c>
    </row>
    <row r="212" spans="1:7" x14ac:dyDescent="0.25">
      <c r="A212" s="26">
        <v>11284</v>
      </c>
      <c r="B212" s="26"/>
      <c r="C212" s="31" t="s">
        <v>2075</v>
      </c>
      <c r="D212" s="31" t="s">
        <v>820</v>
      </c>
      <c r="E212" s="31" t="s">
        <v>13</v>
      </c>
      <c r="F212" t="s">
        <v>2254</v>
      </c>
      <c r="G212" t="s">
        <v>2253</v>
      </c>
    </row>
    <row r="213" spans="1:7" x14ac:dyDescent="0.25">
      <c r="A213" s="26">
        <v>11341</v>
      </c>
      <c r="B213" s="26"/>
      <c r="C213" s="31" t="s">
        <v>2055</v>
      </c>
      <c r="D213" s="31" t="s">
        <v>820</v>
      </c>
      <c r="E213" s="31" t="s">
        <v>13</v>
      </c>
      <c r="F213" t="s">
        <v>2254</v>
      </c>
      <c r="G213" t="s">
        <v>2253</v>
      </c>
    </row>
    <row r="214" spans="1:7" x14ac:dyDescent="0.25">
      <c r="A214" s="26">
        <v>11422</v>
      </c>
      <c r="B214" s="26"/>
      <c r="C214" s="31" t="s">
        <v>2056</v>
      </c>
      <c r="D214" s="31" t="s">
        <v>820</v>
      </c>
      <c r="E214" s="31" t="s">
        <v>13</v>
      </c>
      <c r="F214" t="s">
        <v>2254</v>
      </c>
      <c r="G214" t="s">
        <v>2253</v>
      </c>
    </row>
    <row r="215" spans="1:7" x14ac:dyDescent="0.25">
      <c r="A215" s="26">
        <v>11423</v>
      </c>
      <c r="B215" s="26"/>
      <c r="C215" s="31" t="s">
        <v>2106</v>
      </c>
      <c r="D215" s="31" t="s">
        <v>820</v>
      </c>
      <c r="E215" s="31" t="s">
        <v>13</v>
      </c>
      <c r="F215" t="s">
        <v>2254</v>
      </c>
      <c r="G215" t="s">
        <v>2253</v>
      </c>
    </row>
    <row r="216" spans="1:7" x14ac:dyDescent="0.25">
      <c r="A216" s="26">
        <v>11606</v>
      </c>
      <c r="B216" s="26"/>
      <c r="C216" s="31" t="s">
        <v>2057</v>
      </c>
      <c r="D216" s="31" t="s">
        <v>820</v>
      </c>
      <c r="E216" s="31" t="s">
        <v>13</v>
      </c>
      <c r="F216" t="s">
        <v>2254</v>
      </c>
      <c r="G216" t="s">
        <v>2253</v>
      </c>
    </row>
    <row r="217" spans="1:7" x14ac:dyDescent="0.25">
      <c r="A217" s="26">
        <v>12309</v>
      </c>
      <c r="B217" s="26"/>
      <c r="C217" s="31" t="s">
        <v>2058</v>
      </c>
      <c r="D217" s="31" t="s">
        <v>820</v>
      </c>
      <c r="E217" s="31" t="s">
        <v>13</v>
      </c>
      <c r="F217" t="s">
        <v>2254</v>
      </c>
      <c r="G217" t="s">
        <v>2253</v>
      </c>
    </row>
    <row r="218" spans="1:7" x14ac:dyDescent="0.25">
      <c r="A218" s="26">
        <v>12324</v>
      </c>
      <c r="B218" s="26"/>
      <c r="C218" s="31" t="s">
        <v>2059</v>
      </c>
      <c r="D218" s="31" t="s">
        <v>820</v>
      </c>
      <c r="E218" s="31" t="s">
        <v>13</v>
      </c>
      <c r="F218" t="s">
        <v>2254</v>
      </c>
      <c r="G218" t="s">
        <v>2253</v>
      </c>
    </row>
    <row r="219" spans="1:7" x14ac:dyDescent="0.25">
      <c r="A219" s="26">
        <v>11047</v>
      </c>
      <c r="B219" s="26"/>
      <c r="C219" s="31" t="s">
        <v>2107</v>
      </c>
      <c r="D219" s="31" t="s">
        <v>859</v>
      </c>
      <c r="E219" s="31" t="s">
        <v>13</v>
      </c>
      <c r="F219" t="s">
        <v>2254</v>
      </c>
      <c r="G219" t="s">
        <v>2253</v>
      </c>
    </row>
    <row r="220" spans="1:7" x14ac:dyDescent="0.25">
      <c r="A220" s="26">
        <v>11213</v>
      </c>
      <c r="B220" s="26"/>
      <c r="C220" s="31" t="s">
        <v>2060</v>
      </c>
      <c r="D220" s="31" t="s">
        <v>859</v>
      </c>
      <c r="E220" s="31" t="s">
        <v>13</v>
      </c>
      <c r="F220" t="s">
        <v>2254</v>
      </c>
      <c r="G220" t="s">
        <v>2253</v>
      </c>
    </row>
    <row r="221" spans="1:7" x14ac:dyDescent="0.25">
      <c r="A221" s="26">
        <v>11343</v>
      </c>
      <c r="B221" s="26"/>
      <c r="C221" s="31" t="s">
        <v>2061</v>
      </c>
      <c r="D221" s="31" t="s">
        <v>859</v>
      </c>
      <c r="E221" s="31" t="s">
        <v>13</v>
      </c>
      <c r="F221" t="s">
        <v>2254</v>
      </c>
      <c r="G221" t="s">
        <v>2253</v>
      </c>
    </row>
    <row r="222" spans="1:7" x14ac:dyDescent="0.25">
      <c r="A222" s="26">
        <v>11429</v>
      </c>
      <c r="B222" s="26"/>
      <c r="C222" s="31" t="s">
        <v>2062</v>
      </c>
      <c r="D222" s="31" t="s">
        <v>859</v>
      </c>
      <c r="E222" s="31" t="s">
        <v>13</v>
      </c>
      <c r="F222" t="s">
        <v>2254</v>
      </c>
      <c r="G222" t="s">
        <v>2253</v>
      </c>
    </row>
    <row r="223" spans="1:7" x14ac:dyDescent="0.25">
      <c r="A223" s="26">
        <v>11563</v>
      </c>
      <c r="B223" s="26"/>
      <c r="C223" s="31" t="s">
        <v>395</v>
      </c>
      <c r="D223" s="31" t="s">
        <v>859</v>
      </c>
      <c r="E223" s="31" t="s">
        <v>13</v>
      </c>
      <c r="F223" t="s">
        <v>2254</v>
      </c>
      <c r="G223" t="s">
        <v>2253</v>
      </c>
    </row>
    <row r="224" spans="1:7" x14ac:dyDescent="0.25">
      <c r="A224" s="26">
        <v>11637</v>
      </c>
      <c r="B224" s="26"/>
      <c r="C224" s="31" t="s">
        <v>395</v>
      </c>
      <c r="D224" s="31" t="s">
        <v>859</v>
      </c>
      <c r="E224" s="31" t="s">
        <v>13</v>
      </c>
      <c r="F224" t="s">
        <v>2254</v>
      </c>
      <c r="G224" t="s">
        <v>2253</v>
      </c>
    </row>
    <row r="225" spans="1:7" x14ac:dyDescent="0.25">
      <c r="A225" s="26">
        <v>11648</v>
      </c>
      <c r="B225" s="26"/>
      <c r="C225" s="31" t="s">
        <v>395</v>
      </c>
      <c r="D225" s="31" t="s">
        <v>859</v>
      </c>
      <c r="E225" s="31" t="s">
        <v>13</v>
      </c>
      <c r="F225" t="s">
        <v>2254</v>
      </c>
      <c r="G225" t="s">
        <v>2253</v>
      </c>
    </row>
    <row r="226" spans="1:7" x14ac:dyDescent="0.25">
      <c r="A226" s="26">
        <v>11834</v>
      </c>
      <c r="B226" s="26"/>
      <c r="C226" s="31" t="s">
        <v>2063</v>
      </c>
      <c r="D226" s="31" t="s">
        <v>859</v>
      </c>
      <c r="E226" s="31" t="s">
        <v>13</v>
      </c>
      <c r="F226" t="s">
        <v>2254</v>
      </c>
      <c r="G226" t="s">
        <v>2253</v>
      </c>
    </row>
    <row r="227" spans="1:7" x14ac:dyDescent="0.25">
      <c r="A227" s="26">
        <v>11852</v>
      </c>
      <c r="B227" s="26"/>
      <c r="C227" s="31" t="s">
        <v>2064</v>
      </c>
      <c r="D227" s="31" t="s">
        <v>859</v>
      </c>
      <c r="E227" s="31" t="s">
        <v>13</v>
      </c>
      <c r="F227" t="s">
        <v>2254</v>
      </c>
      <c r="G227" t="s">
        <v>2253</v>
      </c>
    </row>
    <row r="228" spans="1:7" x14ac:dyDescent="0.25">
      <c r="A228" s="26">
        <v>12325</v>
      </c>
      <c r="B228" s="26"/>
      <c r="C228" s="31" t="s">
        <v>2065</v>
      </c>
      <c r="D228" s="31" t="s">
        <v>859</v>
      </c>
      <c r="E228" s="31" t="s">
        <v>13</v>
      </c>
      <c r="F228" t="s">
        <v>2254</v>
      </c>
      <c r="G228" t="s">
        <v>2253</v>
      </c>
    </row>
    <row r="229" spans="1:7" x14ac:dyDescent="0.25">
      <c r="A229" s="26">
        <v>11170</v>
      </c>
      <c r="B229" s="26"/>
      <c r="C229" s="31" t="s">
        <v>2067</v>
      </c>
      <c r="D229" s="31" t="s">
        <v>897</v>
      </c>
      <c r="E229" s="31" t="s">
        <v>13</v>
      </c>
      <c r="F229" t="s">
        <v>2254</v>
      </c>
      <c r="G229" t="s">
        <v>2253</v>
      </c>
    </row>
    <row r="230" spans="1:7" x14ac:dyDescent="0.25">
      <c r="A230" s="26">
        <v>11283</v>
      </c>
      <c r="B230" s="26"/>
      <c r="C230" s="31" t="s">
        <v>2066</v>
      </c>
      <c r="D230" s="31" t="s">
        <v>897</v>
      </c>
      <c r="E230" s="31" t="s">
        <v>13</v>
      </c>
      <c r="F230" t="s">
        <v>2254</v>
      </c>
      <c r="G230" t="s">
        <v>2253</v>
      </c>
    </row>
    <row r="231" spans="1:7" x14ac:dyDescent="0.25">
      <c r="A231" s="26">
        <v>11309</v>
      </c>
      <c r="B231" s="26"/>
      <c r="C231" s="31" t="s">
        <v>395</v>
      </c>
      <c r="D231" s="31" t="s">
        <v>897</v>
      </c>
      <c r="E231" s="31" t="s">
        <v>13</v>
      </c>
      <c r="F231" t="s">
        <v>2254</v>
      </c>
      <c r="G231" t="s">
        <v>2253</v>
      </c>
    </row>
    <row r="232" spans="1:7" x14ac:dyDescent="0.25">
      <c r="A232" s="26">
        <v>11316</v>
      </c>
      <c r="B232" s="26"/>
      <c r="C232" s="31" t="s">
        <v>2456</v>
      </c>
      <c r="D232" s="31" t="s">
        <v>897</v>
      </c>
      <c r="E232" s="31" t="s">
        <v>13</v>
      </c>
      <c r="F232" t="s">
        <v>2254</v>
      </c>
      <c r="G232" t="s">
        <v>2253</v>
      </c>
    </row>
    <row r="233" spans="1:7" x14ac:dyDescent="0.25">
      <c r="A233" s="26">
        <v>11616</v>
      </c>
      <c r="B233" s="26"/>
      <c r="C233" s="31" t="s">
        <v>2457</v>
      </c>
      <c r="D233" s="31" t="s">
        <v>897</v>
      </c>
      <c r="E233" s="31" t="s">
        <v>13</v>
      </c>
      <c r="F233" t="s">
        <v>2254</v>
      </c>
      <c r="G233" t="s">
        <v>2253</v>
      </c>
    </row>
    <row r="234" spans="1:7" x14ac:dyDescent="0.25">
      <c r="A234" s="26">
        <v>12335</v>
      </c>
      <c r="B234" s="26"/>
      <c r="C234" s="31" t="s">
        <v>2068</v>
      </c>
      <c r="D234" s="31" t="s">
        <v>897</v>
      </c>
      <c r="E234" s="31" t="s">
        <v>13</v>
      </c>
      <c r="F234" t="s">
        <v>2254</v>
      </c>
      <c r="G234" t="s">
        <v>2253</v>
      </c>
    </row>
    <row r="235" spans="1:7" x14ac:dyDescent="0.25">
      <c r="A235" s="26">
        <v>11007</v>
      </c>
      <c r="B235" s="26"/>
      <c r="C235" s="31" t="s">
        <v>2069</v>
      </c>
      <c r="D235" s="31" t="s">
        <v>920</v>
      </c>
      <c r="E235" s="31" t="s">
        <v>13</v>
      </c>
      <c r="F235" t="s">
        <v>2254</v>
      </c>
      <c r="G235" t="s">
        <v>2253</v>
      </c>
    </row>
    <row r="236" spans="1:7" x14ac:dyDescent="0.25">
      <c r="A236" s="26">
        <v>11131</v>
      </c>
      <c r="B236" s="26"/>
      <c r="C236" s="31" t="s">
        <v>2458</v>
      </c>
      <c r="D236" s="31" t="s">
        <v>920</v>
      </c>
      <c r="E236" s="31" t="s">
        <v>13</v>
      </c>
      <c r="F236" t="s">
        <v>2254</v>
      </c>
      <c r="G236" t="s">
        <v>2253</v>
      </c>
    </row>
    <row r="237" spans="1:7" x14ac:dyDescent="0.25">
      <c r="A237" s="26">
        <v>11271</v>
      </c>
      <c r="B237" s="26"/>
      <c r="C237" s="31" t="s">
        <v>2071</v>
      </c>
      <c r="D237" s="31" t="s">
        <v>920</v>
      </c>
      <c r="E237" s="31" t="s">
        <v>13</v>
      </c>
      <c r="F237" t="s">
        <v>2254</v>
      </c>
      <c r="G237" t="s">
        <v>2253</v>
      </c>
    </row>
    <row r="238" spans="1:7" x14ac:dyDescent="0.25">
      <c r="A238" s="26">
        <v>11313</v>
      </c>
      <c r="B238" s="26"/>
      <c r="C238" s="31" t="s">
        <v>2072</v>
      </c>
      <c r="D238" s="31" t="s">
        <v>920</v>
      </c>
      <c r="E238" s="31" t="s">
        <v>13</v>
      </c>
      <c r="F238" t="s">
        <v>2254</v>
      </c>
      <c r="G238" t="s">
        <v>2253</v>
      </c>
    </row>
    <row r="239" spans="1:7" x14ac:dyDescent="0.25">
      <c r="A239" s="26">
        <v>11458</v>
      </c>
      <c r="B239" s="26"/>
      <c r="C239" s="31" t="s">
        <v>2073</v>
      </c>
      <c r="D239" s="31" t="s">
        <v>920</v>
      </c>
      <c r="E239" s="31" t="s">
        <v>13</v>
      </c>
      <c r="F239" t="s">
        <v>2254</v>
      </c>
      <c r="G239" t="s">
        <v>2253</v>
      </c>
    </row>
    <row r="240" spans="1:7" x14ac:dyDescent="0.25">
      <c r="A240" s="26">
        <v>11526</v>
      </c>
      <c r="B240" s="26"/>
      <c r="C240" s="31" t="s">
        <v>2074</v>
      </c>
      <c r="D240" s="31" t="s">
        <v>920</v>
      </c>
      <c r="E240" s="31" t="s">
        <v>13</v>
      </c>
      <c r="F240" t="s">
        <v>2254</v>
      </c>
      <c r="G240" t="s">
        <v>2253</v>
      </c>
    </row>
    <row r="241" spans="1:7" x14ac:dyDescent="0.25">
      <c r="A241" s="26">
        <v>11572</v>
      </c>
      <c r="B241" s="26"/>
      <c r="C241" s="31" t="s">
        <v>395</v>
      </c>
      <c r="D241" s="31" t="s">
        <v>920</v>
      </c>
      <c r="E241" s="31" t="s">
        <v>13</v>
      </c>
      <c r="F241" t="s">
        <v>2254</v>
      </c>
      <c r="G241" t="s">
        <v>2253</v>
      </c>
    </row>
    <row r="242" spans="1:7" x14ac:dyDescent="0.25">
      <c r="A242" s="26">
        <v>12381</v>
      </c>
      <c r="B242" s="26"/>
      <c r="C242" s="31" t="s">
        <v>2054</v>
      </c>
      <c r="D242" s="31" t="s">
        <v>920</v>
      </c>
      <c r="E242" s="31" t="s">
        <v>13</v>
      </c>
      <c r="F242" t="s">
        <v>2254</v>
      </c>
      <c r="G242" t="s">
        <v>2253</v>
      </c>
    </row>
    <row r="243" spans="1:7" x14ac:dyDescent="0.25">
      <c r="A243" s="15">
        <v>12391</v>
      </c>
      <c r="B243" s="15"/>
      <c r="C243" s="31" t="s">
        <v>2070</v>
      </c>
      <c r="D243" s="31" t="s">
        <v>920</v>
      </c>
      <c r="E243" s="31" t="s">
        <v>13</v>
      </c>
      <c r="F243" t="s">
        <v>2254</v>
      </c>
      <c r="G243" t="s">
        <v>2253</v>
      </c>
    </row>
    <row r="244" spans="1:7" x14ac:dyDescent="0.25">
      <c r="A244" s="26">
        <v>11238</v>
      </c>
      <c r="B244" s="26"/>
      <c r="C244" s="31" t="s">
        <v>950</v>
      </c>
      <c r="D244" s="31" t="s">
        <v>951</v>
      </c>
      <c r="E244" s="31" t="s">
        <v>15</v>
      </c>
      <c r="F244" t="s">
        <v>2254</v>
      </c>
      <c r="G244" t="s">
        <v>2253</v>
      </c>
    </row>
    <row r="245" spans="1:7" x14ac:dyDescent="0.25">
      <c r="A245" s="26">
        <v>11253</v>
      </c>
      <c r="B245" s="26"/>
      <c r="C245" s="31" t="s">
        <v>958</v>
      </c>
      <c r="D245" s="31" t="s">
        <v>951</v>
      </c>
      <c r="E245" s="31" t="s">
        <v>15</v>
      </c>
      <c r="F245" t="s">
        <v>2254</v>
      </c>
      <c r="G245" t="s">
        <v>2253</v>
      </c>
    </row>
    <row r="246" spans="1:7" x14ac:dyDescent="0.25">
      <c r="A246" s="26">
        <v>11319</v>
      </c>
      <c r="B246" s="26"/>
      <c r="C246" s="31" t="s">
        <v>964</v>
      </c>
      <c r="D246" s="31" t="s">
        <v>951</v>
      </c>
      <c r="E246" s="31" t="s">
        <v>15</v>
      </c>
      <c r="F246" t="s">
        <v>2254</v>
      </c>
      <c r="G246" t="s">
        <v>2253</v>
      </c>
    </row>
    <row r="247" spans="1:7" x14ac:dyDescent="0.25">
      <c r="A247" s="26">
        <v>11389</v>
      </c>
      <c r="B247" s="26"/>
      <c r="C247" s="31" t="s">
        <v>2451</v>
      </c>
      <c r="D247" s="31" t="s">
        <v>951</v>
      </c>
      <c r="E247" s="31" t="s">
        <v>15</v>
      </c>
      <c r="F247" t="s">
        <v>2254</v>
      </c>
      <c r="G247" t="s">
        <v>2253</v>
      </c>
    </row>
    <row r="248" spans="1:7" x14ac:dyDescent="0.25">
      <c r="A248" s="26">
        <v>11394</v>
      </c>
      <c r="B248" s="26"/>
      <c r="C248" s="31" t="s">
        <v>2108</v>
      </c>
      <c r="D248" s="31" t="s">
        <v>951</v>
      </c>
      <c r="E248" s="31" t="s">
        <v>15</v>
      </c>
      <c r="F248" t="s">
        <v>2254</v>
      </c>
      <c r="G248" t="s">
        <v>2253</v>
      </c>
    </row>
    <row r="249" spans="1:7" x14ac:dyDescent="0.25">
      <c r="A249" s="26">
        <v>11402</v>
      </c>
      <c r="B249" s="26"/>
      <c r="C249" s="31" t="s">
        <v>975</v>
      </c>
      <c r="D249" s="31" t="s">
        <v>951</v>
      </c>
      <c r="E249" s="31" t="s">
        <v>15</v>
      </c>
      <c r="F249" t="s">
        <v>2254</v>
      </c>
      <c r="G249" t="s">
        <v>2253</v>
      </c>
    </row>
    <row r="250" spans="1:7" x14ac:dyDescent="0.25">
      <c r="A250" s="26">
        <v>11481</v>
      </c>
      <c r="B250" s="26"/>
      <c r="C250" s="31" t="s">
        <v>980</v>
      </c>
      <c r="D250" s="31" t="s">
        <v>951</v>
      </c>
      <c r="E250" s="31" t="s">
        <v>15</v>
      </c>
      <c r="F250" t="s">
        <v>2254</v>
      </c>
      <c r="G250" t="s">
        <v>2253</v>
      </c>
    </row>
    <row r="251" spans="1:7" x14ac:dyDescent="0.25">
      <c r="A251" s="26">
        <v>11522</v>
      </c>
      <c r="B251" s="26"/>
      <c r="C251" s="31" t="s">
        <v>985</v>
      </c>
      <c r="D251" s="31" t="s">
        <v>951</v>
      </c>
      <c r="E251" s="31" t="s">
        <v>15</v>
      </c>
      <c r="F251" t="s">
        <v>2254</v>
      </c>
      <c r="G251" t="s">
        <v>2253</v>
      </c>
    </row>
    <row r="252" spans="1:7" x14ac:dyDescent="0.25">
      <c r="A252" s="26">
        <v>11577</v>
      </c>
      <c r="B252" s="26"/>
      <c r="C252" s="31" t="s">
        <v>2126</v>
      </c>
      <c r="D252" s="31" t="s">
        <v>951</v>
      </c>
      <c r="E252" s="31" t="s">
        <v>15</v>
      </c>
      <c r="F252" t="s">
        <v>2254</v>
      </c>
      <c r="G252" t="s">
        <v>2253</v>
      </c>
    </row>
    <row r="253" spans="1:7" x14ac:dyDescent="0.25">
      <c r="A253" s="26">
        <v>11959</v>
      </c>
      <c r="B253" s="26"/>
      <c r="C253" s="31" t="s">
        <v>995</v>
      </c>
      <c r="D253" s="31" t="s">
        <v>951</v>
      </c>
      <c r="E253" s="31" t="s">
        <v>15</v>
      </c>
      <c r="F253" t="s">
        <v>2254</v>
      </c>
      <c r="G253" t="s">
        <v>2253</v>
      </c>
    </row>
    <row r="254" spans="1:7" x14ac:dyDescent="0.25">
      <c r="A254" s="26">
        <v>11218</v>
      </c>
      <c r="B254" s="26"/>
      <c r="C254" s="31" t="s">
        <v>999</v>
      </c>
      <c r="D254" s="31" t="s">
        <v>1000</v>
      </c>
      <c r="E254" s="31" t="s">
        <v>15</v>
      </c>
      <c r="F254" t="s">
        <v>2254</v>
      </c>
      <c r="G254" t="s">
        <v>2253</v>
      </c>
    </row>
    <row r="255" spans="1:7" x14ac:dyDescent="0.25">
      <c r="A255" s="26">
        <v>11249</v>
      </c>
      <c r="B255" s="26"/>
      <c r="C255" s="31" t="s">
        <v>1004</v>
      </c>
      <c r="D255" s="31" t="s">
        <v>1000</v>
      </c>
      <c r="E255" s="31" t="s">
        <v>15</v>
      </c>
      <c r="F255" t="s">
        <v>2254</v>
      </c>
      <c r="G255" t="s">
        <v>2253</v>
      </c>
    </row>
    <row r="256" spans="1:7" x14ac:dyDescent="0.25">
      <c r="A256" s="26">
        <v>11297</v>
      </c>
      <c r="B256" s="26"/>
      <c r="C256" s="31" t="s">
        <v>1010</v>
      </c>
      <c r="D256" s="31" t="s">
        <v>1000</v>
      </c>
      <c r="E256" s="31" t="s">
        <v>15</v>
      </c>
      <c r="F256" t="s">
        <v>2254</v>
      </c>
      <c r="G256" t="s">
        <v>2253</v>
      </c>
    </row>
    <row r="257" spans="1:7" x14ac:dyDescent="0.25">
      <c r="A257" s="26">
        <v>11329</v>
      </c>
      <c r="B257" s="26"/>
      <c r="C257" s="31" t="s">
        <v>1295</v>
      </c>
      <c r="D257" s="31" t="s">
        <v>1000</v>
      </c>
      <c r="E257" s="31" t="s">
        <v>15</v>
      </c>
      <c r="F257" t="s">
        <v>2254</v>
      </c>
      <c r="G257" t="s">
        <v>2253</v>
      </c>
    </row>
    <row r="258" spans="1:7" x14ac:dyDescent="0.25">
      <c r="A258" s="26">
        <v>11396</v>
      </c>
      <c r="B258" s="26"/>
      <c r="C258" s="31" t="s">
        <v>2109</v>
      </c>
      <c r="D258" s="31" t="s">
        <v>1000</v>
      </c>
      <c r="E258" s="31" t="s">
        <v>15</v>
      </c>
      <c r="F258" t="s">
        <v>2254</v>
      </c>
      <c r="G258" t="s">
        <v>2253</v>
      </c>
    </row>
    <row r="259" spans="1:7" x14ac:dyDescent="0.25">
      <c r="A259" s="26">
        <v>11537</v>
      </c>
      <c r="B259" s="26"/>
      <c r="C259" s="31" t="s">
        <v>2129</v>
      </c>
      <c r="D259" s="31" t="s">
        <v>1000</v>
      </c>
      <c r="E259" s="31" t="s">
        <v>15</v>
      </c>
      <c r="F259" t="s">
        <v>2254</v>
      </c>
      <c r="G259" t="s">
        <v>2253</v>
      </c>
    </row>
    <row r="260" spans="1:7" x14ac:dyDescent="0.25">
      <c r="A260" s="26">
        <v>11605</v>
      </c>
      <c r="B260" s="26"/>
      <c r="C260" s="31" t="s">
        <v>1027</v>
      </c>
      <c r="D260" s="31" t="s">
        <v>1000</v>
      </c>
      <c r="E260" s="31" t="s">
        <v>15</v>
      </c>
      <c r="F260" t="s">
        <v>2254</v>
      </c>
      <c r="G260" t="s">
        <v>2253</v>
      </c>
    </row>
    <row r="261" spans="1:7" x14ac:dyDescent="0.25">
      <c r="A261" s="26">
        <v>12331</v>
      </c>
      <c r="B261" s="26"/>
      <c r="C261" s="31" t="s">
        <v>1032</v>
      </c>
      <c r="D261" s="31" t="s">
        <v>1000</v>
      </c>
      <c r="E261" s="31" t="s">
        <v>15</v>
      </c>
      <c r="F261" t="s">
        <v>2254</v>
      </c>
      <c r="G261" t="s">
        <v>2253</v>
      </c>
    </row>
    <row r="262" spans="1:7" x14ac:dyDescent="0.25">
      <c r="A262" s="26">
        <v>12332</v>
      </c>
      <c r="B262" s="26"/>
      <c r="C262" s="31" t="s">
        <v>1036</v>
      </c>
      <c r="D262" s="31" t="s">
        <v>1000</v>
      </c>
      <c r="E262" s="31" t="s">
        <v>15</v>
      </c>
      <c r="F262" t="s">
        <v>2254</v>
      </c>
      <c r="G262" t="s">
        <v>2253</v>
      </c>
    </row>
    <row r="263" spans="1:7" x14ac:dyDescent="0.25">
      <c r="A263" s="26">
        <v>12337</v>
      </c>
      <c r="B263" s="26"/>
      <c r="C263" s="31" t="s">
        <v>2110</v>
      </c>
      <c r="D263" s="31" t="s">
        <v>1000</v>
      </c>
      <c r="E263" s="31" t="s">
        <v>15</v>
      </c>
      <c r="F263" t="s">
        <v>2254</v>
      </c>
      <c r="G263" t="s">
        <v>2253</v>
      </c>
    </row>
    <row r="264" spans="1:7" x14ac:dyDescent="0.25">
      <c r="A264" s="26">
        <v>11031</v>
      </c>
      <c r="B264" s="26"/>
      <c r="C264" s="31" t="s">
        <v>1096</v>
      </c>
      <c r="D264" s="31" t="s">
        <v>1061</v>
      </c>
      <c r="E264" s="31" t="s">
        <v>15</v>
      </c>
      <c r="F264" t="s">
        <v>2254</v>
      </c>
      <c r="G264" t="s">
        <v>2253</v>
      </c>
    </row>
    <row r="265" spans="1:7" x14ac:dyDescent="0.25">
      <c r="A265" s="26">
        <v>11054</v>
      </c>
      <c r="B265" s="26"/>
      <c r="C265" s="31" t="s">
        <v>1067</v>
      </c>
      <c r="D265" s="31" t="s">
        <v>1061</v>
      </c>
      <c r="E265" s="31" t="s">
        <v>15</v>
      </c>
      <c r="F265" t="s">
        <v>2254</v>
      </c>
      <c r="G265" t="s">
        <v>2253</v>
      </c>
    </row>
    <row r="266" spans="1:7" x14ac:dyDescent="0.25">
      <c r="A266" s="26">
        <v>11091</v>
      </c>
      <c r="B266" s="26"/>
      <c r="C266" s="31" t="s">
        <v>2111</v>
      </c>
      <c r="D266" s="31" t="s">
        <v>1061</v>
      </c>
      <c r="E266" s="31" t="s">
        <v>15</v>
      </c>
      <c r="F266" t="s">
        <v>2254</v>
      </c>
      <c r="G266" t="s">
        <v>2253</v>
      </c>
    </row>
    <row r="267" spans="1:7" x14ac:dyDescent="0.25">
      <c r="A267" s="26">
        <v>11275</v>
      </c>
      <c r="B267" s="26"/>
      <c r="C267" s="31" t="s">
        <v>1076</v>
      </c>
      <c r="D267" s="31" t="s">
        <v>1061</v>
      </c>
      <c r="E267" s="31" t="s">
        <v>15</v>
      </c>
      <c r="F267" t="s">
        <v>2254</v>
      </c>
      <c r="G267" t="s">
        <v>2253</v>
      </c>
    </row>
    <row r="268" spans="1:7" x14ac:dyDescent="0.25">
      <c r="A268" s="26">
        <v>11293</v>
      </c>
      <c r="B268" s="26"/>
      <c r="C268" s="31" t="s">
        <v>1081</v>
      </c>
      <c r="D268" s="31" t="s">
        <v>1061</v>
      </c>
      <c r="E268" s="31" t="s">
        <v>15</v>
      </c>
      <c r="F268" t="s">
        <v>2254</v>
      </c>
      <c r="G268" t="s">
        <v>2253</v>
      </c>
    </row>
    <row r="269" spans="1:7" x14ac:dyDescent="0.25">
      <c r="A269" s="26">
        <v>11294</v>
      </c>
      <c r="B269" s="26"/>
      <c r="C269" s="31" t="s">
        <v>1086</v>
      </c>
      <c r="D269" s="31" t="s">
        <v>1061</v>
      </c>
      <c r="E269" s="31" t="s">
        <v>15</v>
      </c>
      <c r="F269" t="s">
        <v>2254</v>
      </c>
      <c r="G269" t="s">
        <v>2253</v>
      </c>
    </row>
    <row r="270" spans="1:7" x14ac:dyDescent="0.25">
      <c r="A270" s="26">
        <v>11305</v>
      </c>
      <c r="B270" s="26"/>
      <c r="C270" s="31" t="s">
        <v>1091</v>
      </c>
      <c r="D270" s="31" t="s">
        <v>1061</v>
      </c>
      <c r="E270" s="31" t="s">
        <v>15</v>
      </c>
      <c r="F270" t="s">
        <v>2254</v>
      </c>
      <c r="G270" t="s">
        <v>2253</v>
      </c>
    </row>
    <row r="271" spans="1:7" x14ac:dyDescent="0.25">
      <c r="A271" s="26">
        <v>11315</v>
      </c>
      <c r="B271" s="26"/>
      <c r="C271" s="31" t="s">
        <v>1060</v>
      </c>
      <c r="D271" s="31" t="s">
        <v>1061</v>
      </c>
      <c r="E271" s="31" t="s">
        <v>15</v>
      </c>
      <c r="F271" t="s">
        <v>2254</v>
      </c>
      <c r="G271" t="s">
        <v>2253</v>
      </c>
    </row>
    <row r="272" spans="1:7" x14ac:dyDescent="0.25">
      <c r="A272" s="26">
        <v>11532</v>
      </c>
      <c r="B272" s="26"/>
      <c r="C272" s="31" t="s">
        <v>1101</v>
      </c>
      <c r="D272" s="31" t="s">
        <v>1061</v>
      </c>
      <c r="E272" s="31" t="s">
        <v>15</v>
      </c>
      <c r="F272" t="s">
        <v>2254</v>
      </c>
      <c r="G272" t="s">
        <v>2253</v>
      </c>
    </row>
    <row r="273" spans="1:7" x14ac:dyDescent="0.25">
      <c r="A273" s="26">
        <v>11602</v>
      </c>
      <c r="B273" s="26"/>
      <c r="C273" s="31" t="s">
        <v>1107</v>
      </c>
      <c r="D273" s="31" t="s">
        <v>1061</v>
      </c>
      <c r="E273" s="31" t="s">
        <v>15</v>
      </c>
      <c r="F273" t="s">
        <v>2254</v>
      </c>
      <c r="G273" t="s">
        <v>2253</v>
      </c>
    </row>
    <row r="274" spans="1:7" x14ac:dyDescent="0.25">
      <c r="A274" s="26">
        <v>11638</v>
      </c>
      <c r="B274" s="26"/>
      <c r="C274" s="31" t="s">
        <v>1112</v>
      </c>
      <c r="D274" s="31" t="s">
        <v>1061</v>
      </c>
      <c r="E274" s="31" t="s">
        <v>15</v>
      </c>
      <c r="F274" t="s">
        <v>2254</v>
      </c>
      <c r="G274" t="s">
        <v>2253</v>
      </c>
    </row>
    <row r="275" spans="1:7" x14ac:dyDescent="0.25">
      <c r="A275" s="26">
        <v>11083</v>
      </c>
      <c r="B275" s="26"/>
      <c r="C275" s="31" t="s">
        <v>1117</v>
      </c>
      <c r="D275" s="31" t="s">
        <v>1118</v>
      </c>
      <c r="E275" s="31" t="s">
        <v>15</v>
      </c>
      <c r="F275" t="s">
        <v>2254</v>
      </c>
      <c r="G275" t="s">
        <v>2253</v>
      </c>
    </row>
    <row r="276" spans="1:7" x14ac:dyDescent="0.25">
      <c r="A276" s="26">
        <v>11136</v>
      </c>
      <c r="B276" s="26"/>
      <c r="C276" s="31" t="s">
        <v>1124</v>
      </c>
      <c r="D276" s="31" t="s">
        <v>1118</v>
      </c>
      <c r="E276" s="31" t="s">
        <v>15</v>
      </c>
      <c r="F276" t="s">
        <v>2254</v>
      </c>
      <c r="G276" t="s">
        <v>2253</v>
      </c>
    </row>
    <row r="277" spans="1:7" x14ac:dyDescent="0.25">
      <c r="A277" s="26">
        <v>11145</v>
      </c>
      <c r="B277" s="26"/>
      <c r="C277" s="31" t="s">
        <v>1129</v>
      </c>
      <c r="D277" s="31" t="s">
        <v>1118</v>
      </c>
      <c r="E277" s="31" t="s">
        <v>15</v>
      </c>
      <c r="F277" t="s">
        <v>2254</v>
      </c>
      <c r="G277" t="s">
        <v>2253</v>
      </c>
    </row>
    <row r="278" spans="1:7" x14ac:dyDescent="0.25">
      <c r="A278" s="26">
        <v>11156</v>
      </c>
      <c r="B278" s="26"/>
      <c r="C278" s="31" t="s">
        <v>1134</v>
      </c>
      <c r="D278" s="31" t="s">
        <v>1118</v>
      </c>
      <c r="E278" s="31" t="s">
        <v>15</v>
      </c>
      <c r="F278" t="s">
        <v>2254</v>
      </c>
      <c r="G278" t="s">
        <v>2253</v>
      </c>
    </row>
    <row r="279" spans="1:7" x14ac:dyDescent="0.25">
      <c r="A279" s="26">
        <v>11244</v>
      </c>
      <c r="B279" s="26"/>
      <c r="C279" s="31" t="s">
        <v>1139</v>
      </c>
      <c r="D279" s="31" t="s">
        <v>1118</v>
      </c>
      <c r="E279" s="31" t="s">
        <v>15</v>
      </c>
      <c r="F279" t="s">
        <v>2254</v>
      </c>
      <c r="G279" t="s">
        <v>2253</v>
      </c>
    </row>
    <row r="280" spans="1:7" x14ac:dyDescent="0.25">
      <c r="A280" s="26">
        <v>11353</v>
      </c>
      <c r="B280" s="26"/>
      <c r="C280" s="31" t="s">
        <v>1153</v>
      </c>
      <c r="D280" s="31" t="s">
        <v>1118</v>
      </c>
      <c r="E280" s="31" t="s">
        <v>15</v>
      </c>
      <c r="F280" t="s">
        <v>2254</v>
      </c>
      <c r="G280" t="s">
        <v>2253</v>
      </c>
    </row>
    <row r="281" spans="1:7" x14ac:dyDescent="0.25">
      <c r="A281" s="26">
        <v>11354</v>
      </c>
      <c r="B281" s="26"/>
      <c r="C281" s="31" t="s">
        <v>1148</v>
      </c>
      <c r="D281" s="31" t="s">
        <v>1118</v>
      </c>
      <c r="E281" s="31" t="s">
        <v>15</v>
      </c>
      <c r="F281" t="s">
        <v>2254</v>
      </c>
      <c r="G281" t="s">
        <v>2253</v>
      </c>
    </row>
    <row r="282" spans="1:7" x14ac:dyDescent="0.25">
      <c r="A282" s="26">
        <v>11897</v>
      </c>
      <c r="B282" s="26"/>
      <c r="C282" s="31" t="s">
        <v>2452</v>
      </c>
      <c r="D282" s="31" t="s">
        <v>1118</v>
      </c>
      <c r="E282" s="31" t="s">
        <v>15</v>
      </c>
      <c r="F282" t="s">
        <v>2254</v>
      </c>
      <c r="G282" t="s">
        <v>2253</v>
      </c>
    </row>
    <row r="283" spans="1:7" x14ac:dyDescent="0.25">
      <c r="A283" s="26">
        <v>11930</v>
      </c>
      <c r="B283" s="26"/>
      <c r="C283" s="31" t="s">
        <v>1158</v>
      </c>
      <c r="D283" s="31" t="s">
        <v>1118</v>
      </c>
      <c r="E283" s="31" t="s">
        <v>15</v>
      </c>
      <c r="F283" t="s">
        <v>2254</v>
      </c>
      <c r="G283" t="s">
        <v>2253</v>
      </c>
    </row>
    <row r="284" spans="1:7" x14ac:dyDescent="0.25">
      <c r="A284" s="26">
        <v>11014</v>
      </c>
      <c r="B284" s="26"/>
      <c r="C284" s="31" t="s">
        <v>1163</v>
      </c>
      <c r="D284" s="31" t="s">
        <v>1164</v>
      </c>
      <c r="E284" s="31" t="s">
        <v>15</v>
      </c>
      <c r="F284" t="s">
        <v>2254</v>
      </c>
      <c r="G284" t="s">
        <v>2253</v>
      </c>
    </row>
    <row r="285" spans="1:7" x14ac:dyDescent="0.25">
      <c r="A285" s="26">
        <v>11090</v>
      </c>
      <c r="B285" s="26"/>
      <c r="C285" s="31" t="s">
        <v>1170</v>
      </c>
      <c r="D285" s="31" t="s">
        <v>1164</v>
      </c>
      <c r="E285" s="31" t="s">
        <v>15</v>
      </c>
      <c r="F285" t="s">
        <v>2254</v>
      </c>
      <c r="G285" t="s">
        <v>2253</v>
      </c>
    </row>
    <row r="286" spans="1:7" x14ac:dyDescent="0.25">
      <c r="A286" s="26">
        <v>11312</v>
      </c>
      <c r="B286" s="26"/>
      <c r="C286" s="31" t="s">
        <v>1174</v>
      </c>
      <c r="D286" s="31" t="s">
        <v>1164</v>
      </c>
      <c r="E286" s="31" t="s">
        <v>15</v>
      </c>
      <c r="F286" t="s">
        <v>2254</v>
      </c>
      <c r="G286" t="s">
        <v>2253</v>
      </c>
    </row>
    <row r="287" spans="1:7" x14ac:dyDescent="0.25">
      <c r="A287" s="26">
        <v>11321</v>
      </c>
      <c r="B287" s="26"/>
      <c r="C287" s="31" t="s">
        <v>1955</v>
      </c>
      <c r="D287" s="31" t="s">
        <v>1164</v>
      </c>
      <c r="E287" s="31" t="s">
        <v>15</v>
      </c>
      <c r="F287" t="s">
        <v>2254</v>
      </c>
      <c r="G287" t="s">
        <v>2253</v>
      </c>
    </row>
    <row r="288" spans="1:7" x14ac:dyDescent="0.25">
      <c r="A288" s="26">
        <v>11469</v>
      </c>
      <c r="B288" s="26"/>
      <c r="C288" s="31" t="s">
        <v>1185</v>
      </c>
      <c r="D288" s="31" t="s">
        <v>1164</v>
      </c>
      <c r="E288" s="31" t="s">
        <v>15</v>
      </c>
      <c r="F288" t="s">
        <v>2254</v>
      </c>
      <c r="G288" t="s">
        <v>2253</v>
      </c>
    </row>
    <row r="289" spans="1:7" x14ac:dyDescent="0.25">
      <c r="A289" s="26">
        <v>11491</v>
      </c>
      <c r="B289" s="26"/>
      <c r="C289" s="31" t="s">
        <v>1190</v>
      </c>
      <c r="D289" s="31" t="s">
        <v>1164</v>
      </c>
      <c r="E289" s="31" t="s">
        <v>15</v>
      </c>
      <c r="F289" t="s">
        <v>2254</v>
      </c>
      <c r="G289" t="s">
        <v>2253</v>
      </c>
    </row>
    <row r="290" spans="1:7" x14ac:dyDescent="0.25">
      <c r="A290" s="26">
        <v>11900</v>
      </c>
      <c r="B290" s="26"/>
      <c r="C290" s="31" t="s">
        <v>1195</v>
      </c>
      <c r="D290" s="31" t="s">
        <v>1164</v>
      </c>
      <c r="E290" s="31" t="s">
        <v>15</v>
      </c>
      <c r="F290" t="s">
        <v>2254</v>
      </c>
      <c r="G290" t="s">
        <v>2253</v>
      </c>
    </row>
    <row r="291" spans="1:7" x14ac:dyDescent="0.25">
      <c r="A291" s="26">
        <v>12355</v>
      </c>
      <c r="B291" s="26"/>
      <c r="C291" s="31" t="s">
        <v>1200</v>
      </c>
      <c r="D291" s="31" t="s">
        <v>1164</v>
      </c>
      <c r="E291" s="31" t="s">
        <v>15</v>
      </c>
      <c r="F291" t="s">
        <v>2254</v>
      </c>
      <c r="G291" t="s">
        <v>2253</v>
      </c>
    </row>
    <row r="292" spans="1:7" x14ac:dyDescent="0.25">
      <c r="A292" s="26">
        <v>11046</v>
      </c>
      <c r="B292" s="26"/>
      <c r="C292" s="31" t="s">
        <v>2112</v>
      </c>
      <c r="D292" s="31" t="s">
        <v>1205</v>
      </c>
      <c r="E292" s="31" t="s">
        <v>15</v>
      </c>
      <c r="F292" t="s">
        <v>2254</v>
      </c>
      <c r="G292" t="s">
        <v>2253</v>
      </c>
    </row>
    <row r="293" spans="1:7" x14ac:dyDescent="0.25">
      <c r="A293" s="26">
        <v>11180</v>
      </c>
      <c r="B293" s="26"/>
      <c r="C293" s="31" t="s">
        <v>2113</v>
      </c>
      <c r="D293" s="31" t="s">
        <v>1205</v>
      </c>
      <c r="E293" s="31" t="s">
        <v>15</v>
      </c>
      <c r="F293" t="s">
        <v>2254</v>
      </c>
      <c r="G293" t="s">
        <v>2253</v>
      </c>
    </row>
    <row r="294" spans="1:7" x14ac:dyDescent="0.25">
      <c r="A294" s="26">
        <v>11252</v>
      </c>
      <c r="B294" s="26"/>
      <c r="C294" s="31" t="s">
        <v>1050</v>
      </c>
      <c r="D294" s="31" t="s">
        <v>1205</v>
      </c>
      <c r="E294" s="31" t="s">
        <v>15</v>
      </c>
      <c r="F294" t="s">
        <v>2254</v>
      </c>
      <c r="G294" t="s">
        <v>2253</v>
      </c>
    </row>
    <row r="295" spans="1:7" x14ac:dyDescent="0.25">
      <c r="A295" s="26">
        <v>11460</v>
      </c>
      <c r="B295" s="26"/>
      <c r="C295" s="31" t="s">
        <v>1216</v>
      </c>
      <c r="D295" s="31" t="s">
        <v>1205</v>
      </c>
      <c r="E295" s="31" t="s">
        <v>15</v>
      </c>
      <c r="F295" t="s">
        <v>2254</v>
      </c>
      <c r="G295" t="s">
        <v>2253</v>
      </c>
    </row>
    <row r="296" spans="1:7" x14ac:dyDescent="0.25">
      <c r="A296" s="26">
        <v>11545</v>
      </c>
      <c r="B296" s="26"/>
      <c r="C296" s="31" t="s">
        <v>2453</v>
      </c>
      <c r="D296" s="31" t="s">
        <v>1205</v>
      </c>
      <c r="E296" s="31" t="s">
        <v>15</v>
      </c>
      <c r="F296" t="s">
        <v>2254</v>
      </c>
      <c r="G296" t="s">
        <v>2253</v>
      </c>
    </row>
    <row r="297" spans="1:7" x14ac:dyDescent="0.25">
      <c r="A297" s="26">
        <v>11590</v>
      </c>
      <c r="B297" s="26"/>
      <c r="C297" s="31" t="s">
        <v>1226</v>
      </c>
      <c r="D297" s="31" t="s">
        <v>1205</v>
      </c>
      <c r="E297" s="31" t="s">
        <v>15</v>
      </c>
      <c r="F297" t="s">
        <v>2254</v>
      </c>
      <c r="G297" t="s">
        <v>2253</v>
      </c>
    </row>
    <row r="298" spans="1:7" x14ac:dyDescent="0.25">
      <c r="A298" s="26">
        <v>11635</v>
      </c>
      <c r="B298" s="26"/>
      <c r="C298" s="31" t="s">
        <v>1204</v>
      </c>
      <c r="D298" s="31" t="s">
        <v>1205</v>
      </c>
      <c r="E298" s="31" t="s">
        <v>15</v>
      </c>
      <c r="F298" t="s">
        <v>2254</v>
      </c>
      <c r="G298" t="s">
        <v>2253</v>
      </c>
    </row>
    <row r="299" spans="1:7" x14ac:dyDescent="0.25">
      <c r="A299" s="26">
        <v>11639</v>
      </c>
      <c r="B299" s="26"/>
      <c r="C299" s="31" t="s">
        <v>395</v>
      </c>
      <c r="D299" s="31" t="s">
        <v>1205</v>
      </c>
      <c r="E299" s="31" t="s">
        <v>15</v>
      </c>
      <c r="F299" t="s">
        <v>2254</v>
      </c>
      <c r="G299" t="s">
        <v>2253</v>
      </c>
    </row>
    <row r="300" spans="1:7" x14ac:dyDescent="0.25">
      <c r="A300" s="26">
        <v>12330</v>
      </c>
      <c r="B300" s="26"/>
      <c r="C300" s="31" t="s">
        <v>2114</v>
      </c>
      <c r="D300" s="31" t="s">
        <v>1205</v>
      </c>
      <c r="E300" s="31" t="s">
        <v>15</v>
      </c>
      <c r="F300" t="s">
        <v>2254</v>
      </c>
      <c r="G300" t="s">
        <v>2253</v>
      </c>
    </row>
    <row r="301" spans="1:7" x14ac:dyDescent="0.25">
      <c r="A301" s="15">
        <v>12358</v>
      </c>
      <c r="B301" s="15"/>
      <c r="C301" s="31" t="s">
        <v>1221</v>
      </c>
      <c r="D301" s="31" t="s">
        <v>1205</v>
      </c>
      <c r="E301" s="31" t="s">
        <v>15</v>
      </c>
      <c r="F301" t="s">
        <v>2254</v>
      </c>
      <c r="G301" t="s">
        <v>2253</v>
      </c>
    </row>
    <row r="302" spans="1:7" x14ac:dyDescent="0.25">
      <c r="A302" s="26">
        <v>11179</v>
      </c>
      <c r="B302" s="26"/>
      <c r="C302" s="31" t="s">
        <v>1956</v>
      </c>
      <c r="D302" s="31" t="s">
        <v>1238</v>
      </c>
      <c r="E302" s="31" t="s">
        <v>15</v>
      </c>
      <c r="F302" t="s">
        <v>2254</v>
      </c>
      <c r="G302" t="s">
        <v>2253</v>
      </c>
    </row>
    <row r="303" spans="1:7" x14ac:dyDescent="0.25">
      <c r="A303" s="26">
        <v>11302</v>
      </c>
      <c r="B303" s="26"/>
      <c r="C303" s="31" t="s">
        <v>1243</v>
      </c>
      <c r="D303" s="31" t="s">
        <v>1238</v>
      </c>
      <c r="E303" s="31" t="s">
        <v>15</v>
      </c>
      <c r="F303" t="s">
        <v>2254</v>
      </c>
      <c r="G303" t="s">
        <v>2253</v>
      </c>
    </row>
    <row r="304" spans="1:7" x14ac:dyDescent="0.25">
      <c r="A304" s="26">
        <v>11439</v>
      </c>
      <c r="B304" s="26"/>
      <c r="C304" s="31" t="s">
        <v>1957</v>
      </c>
      <c r="D304" s="31" t="s">
        <v>1238</v>
      </c>
      <c r="E304" s="31" t="s">
        <v>15</v>
      </c>
      <c r="F304" t="s">
        <v>2254</v>
      </c>
      <c r="G304" t="s">
        <v>2253</v>
      </c>
    </row>
    <row r="305" spans="1:7" x14ac:dyDescent="0.25">
      <c r="A305" s="26">
        <v>11486</v>
      </c>
      <c r="B305" s="26"/>
      <c r="C305" s="31" t="s">
        <v>1252</v>
      </c>
      <c r="D305" s="31" t="s">
        <v>1238</v>
      </c>
      <c r="E305" s="31" t="s">
        <v>15</v>
      </c>
      <c r="F305" t="s">
        <v>2254</v>
      </c>
      <c r="G305" t="s">
        <v>2253</v>
      </c>
    </row>
    <row r="306" spans="1:7" x14ac:dyDescent="0.25">
      <c r="A306" s="26">
        <v>11615</v>
      </c>
      <c r="B306" s="26"/>
      <c r="C306" s="31" t="s">
        <v>1257</v>
      </c>
      <c r="D306" s="31" t="s">
        <v>1238</v>
      </c>
      <c r="E306" s="31" t="s">
        <v>15</v>
      </c>
      <c r="F306" t="s">
        <v>2254</v>
      </c>
      <c r="G306" t="s">
        <v>2253</v>
      </c>
    </row>
    <row r="307" spans="1:7" x14ac:dyDescent="0.25">
      <c r="A307" s="26">
        <v>11942</v>
      </c>
      <c r="B307" s="26"/>
      <c r="C307" s="31" t="s">
        <v>1054</v>
      </c>
      <c r="D307" s="31" t="s">
        <v>1238</v>
      </c>
      <c r="E307" s="31" t="s">
        <v>15</v>
      </c>
      <c r="F307" t="s">
        <v>2254</v>
      </c>
      <c r="G307" t="s">
        <v>2253</v>
      </c>
    </row>
    <row r="308" spans="1:7" x14ac:dyDescent="0.25">
      <c r="A308" s="26">
        <v>12348</v>
      </c>
      <c r="B308" s="26"/>
      <c r="C308" s="31" t="s">
        <v>1266</v>
      </c>
      <c r="D308" s="31" t="s">
        <v>1238</v>
      </c>
      <c r="E308" s="31" t="s">
        <v>15</v>
      </c>
      <c r="F308" t="s">
        <v>2254</v>
      </c>
      <c r="G308" t="s">
        <v>2253</v>
      </c>
    </row>
    <row r="309" spans="1:7" x14ac:dyDescent="0.25">
      <c r="A309" s="15">
        <v>12385</v>
      </c>
      <c r="B309" s="15"/>
      <c r="C309" s="31" t="s">
        <v>2242</v>
      </c>
      <c r="D309" s="31" t="s">
        <v>1238</v>
      </c>
      <c r="E309" s="16" t="s">
        <v>15</v>
      </c>
      <c r="F309" t="s">
        <v>2254</v>
      </c>
      <c r="G309" t="s">
        <v>2253</v>
      </c>
    </row>
    <row r="310" spans="1:7" x14ac:dyDescent="0.25">
      <c r="A310" s="26">
        <v>11008</v>
      </c>
      <c r="B310" s="26"/>
      <c r="C310" s="31" t="s">
        <v>395</v>
      </c>
      <c r="D310" s="31" t="s">
        <v>1271</v>
      </c>
      <c r="E310" s="31" t="s">
        <v>15</v>
      </c>
      <c r="F310" t="s">
        <v>2254</v>
      </c>
      <c r="G310" t="s">
        <v>2253</v>
      </c>
    </row>
    <row r="311" spans="1:7" x14ac:dyDescent="0.25">
      <c r="A311" s="26">
        <v>11020</v>
      </c>
      <c r="B311" s="26"/>
      <c r="C311" s="31" t="s">
        <v>1270</v>
      </c>
      <c r="D311" s="31" t="s">
        <v>1271</v>
      </c>
      <c r="E311" s="31" t="s">
        <v>15</v>
      </c>
      <c r="F311" t="s">
        <v>2254</v>
      </c>
      <c r="G311" t="s">
        <v>2253</v>
      </c>
    </row>
    <row r="312" spans="1:7" x14ac:dyDescent="0.25">
      <c r="A312" s="26">
        <v>11035</v>
      </c>
      <c r="B312" s="26"/>
      <c r="C312" s="31" t="s">
        <v>1280</v>
      </c>
      <c r="D312" s="31" t="s">
        <v>1271</v>
      </c>
      <c r="E312" s="31" t="s">
        <v>15</v>
      </c>
      <c r="F312" t="s">
        <v>2254</v>
      </c>
      <c r="G312" t="s">
        <v>2253</v>
      </c>
    </row>
    <row r="313" spans="1:7" x14ac:dyDescent="0.25">
      <c r="A313" s="26">
        <v>11195</v>
      </c>
      <c r="B313" s="26"/>
      <c r="C313" s="31" t="s">
        <v>1285</v>
      </c>
      <c r="D313" s="31" t="s">
        <v>1271</v>
      </c>
      <c r="E313" s="31" t="s">
        <v>15</v>
      </c>
      <c r="F313" t="s">
        <v>2254</v>
      </c>
      <c r="G313" t="s">
        <v>2253</v>
      </c>
    </row>
    <row r="314" spans="1:7" x14ac:dyDescent="0.25">
      <c r="A314" s="26">
        <v>11237</v>
      </c>
      <c r="B314" s="26"/>
      <c r="C314" s="31" t="s">
        <v>2454</v>
      </c>
      <c r="D314" s="31" t="s">
        <v>1271</v>
      </c>
      <c r="E314" s="31" t="s">
        <v>15</v>
      </c>
      <c r="F314" t="s">
        <v>2254</v>
      </c>
      <c r="G314" t="s">
        <v>2253</v>
      </c>
    </row>
    <row r="315" spans="1:7" x14ac:dyDescent="0.25">
      <c r="A315" s="26">
        <v>11295</v>
      </c>
      <c r="B315" s="26"/>
      <c r="C315" s="31" t="s">
        <v>2455</v>
      </c>
      <c r="D315" s="31" t="s">
        <v>1271</v>
      </c>
      <c r="E315" s="31" t="s">
        <v>15</v>
      </c>
      <c r="F315" t="s">
        <v>2254</v>
      </c>
      <c r="G315" t="s">
        <v>2253</v>
      </c>
    </row>
    <row r="316" spans="1:7" x14ac:dyDescent="0.25">
      <c r="A316" s="26">
        <v>11558</v>
      </c>
      <c r="B316" s="26"/>
      <c r="C316" s="31" t="s">
        <v>1299</v>
      </c>
      <c r="D316" s="31" t="s">
        <v>1271</v>
      </c>
      <c r="E316" s="31" t="s">
        <v>15</v>
      </c>
      <c r="F316" t="s">
        <v>2254</v>
      </c>
      <c r="G316" t="s">
        <v>2253</v>
      </c>
    </row>
    <row r="317" spans="1:7" x14ac:dyDescent="0.25">
      <c r="A317" s="26">
        <v>11612</v>
      </c>
      <c r="B317" s="26"/>
      <c r="C317" s="31" t="s">
        <v>2115</v>
      </c>
      <c r="D317" s="31" t="s">
        <v>1271</v>
      </c>
      <c r="E317" s="31" t="s">
        <v>15</v>
      </c>
      <c r="F317" t="s">
        <v>2254</v>
      </c>
      <c r="G317" t="s">
        <v>2253</v>
      </c>
    </row>
    <row r="318" spans="1:7" x14ac:dyDescent="0.25">
      <c r="A318" s="26">
        <v>11810</v>
      </c>
      <c r="B318" s="26"/>
      <c r="C318" s="31" t="s">
        <v>2116</v>
      </c>
      <c r="D318" s="31" t="s">
        <v>1271</v>
      </c>
      <c r="E318" s="31" t="s">
        <v>15</v>
      </c>
      <c r="F318" t="s">
        <v>2254</v>
      </c>
      <c r="G318" t="s">
        <v>2253</v>
      </c>
    </row>
    <row r="319" spans="1:7" x14ac:dyDescent="0.25">
      <c r="A319" s="26">
        <v>11854</v>
      </c>
      <c r="B319" s="26"/>
      <c r="C319" s="31" t="s">
        <v>1312</v>
      </c>
      <c r="D319" s="31" t="s">
        <v>1271</v>
      </c>
      <c r="E319" s="31" t="s">
        <v>15</v>
      </c>
      <c r="F319" t="s">
        <v>2254</v>
      </c>
      <c r="G319" t="s">
        <v>2253</v>
      </c>
    </row>
    <row r="320" spans="1:7" x14ac:dyDescent="0.25">
      <c r="A320" s="26">
        <v>11116</v>
      </c>
      <c r="B320" s="26"/>
      <c r="C320" s="31" t="s">
        <v>1351</v>
      </c>
      <c r="D320" s="31" t="s">
        <v>1317</v>
      </c>
      <c r="E320" s="31" t="s">
        <v>15</v>
      </c>
      <c r="F320" t="s">
        <v>2254</v>
      </c>
      <c r="G320" t="s">
        <v>2253</v>
      </c>
    </row>
    <row r="321" spans="1:7" x14ac:dyDescent="0.25">
      <c r="A321" s="26">
        <v>11245</v>
      </c>
      <c r="B321" s="26"/>
      <c r="C321" s="31" t="s">
        <v>1322</v>
      </c>
      <c r="D321" s="31" t="s">
        <v>1317</v>
      </c>
      <c r="E321" s="31" t="s">
        <v>15</v>
      </c>
      <c r="F321" t="s">
        <v>2254</v>
      </c>
      <c r="G321" t="s">
        <v>2253</v>
      </c>
    </row>
    <row r="322" spans="1:7" x14ac:dyDescent="0.25">
      <c r="A322" s="26">
        <v>11292</v>
      </c>
      <c r="B322" s="26"/>
      <c r="C322" s="31" t="s">
        <v>990</v>
      </c>
      <c r="D322" s="31" t="s">
        <v>1317</v>
      </c>
      <c r="E322" s="31" t="s">
        <v>15</v>
      </c>
      <c r="F322" t="s">
        <v>2254</v>
      </c>
      <c r="G322" t="s">
        <v>2253</v>
      </c>
    </row>
    <row r="323" spans="1:7" x14ac:dyDescent="0.25">
      <c r="A323" s="26">
        <v>11296</v>
      </c>
      <c r="B323" s="26"/>
      <c r="C323" s="31" t="s">
        <v>1332</v>
      </c>
      <c r="D323" s="31" t="s">
        <v>1317</v>
      </c>
      <c r="E323" s="31" t="s">
        <v>15</v>
      </c>
      <c r="F323" t="s">
        <v>2254</v>
      </c>
      <c r="G323" t="s">
        <v>2253</v>
      </c>
    </row>
    <row r="324" spans="1:7" x14ac:dyDescent="0.25">
      <c r="A324" s="26">
        <v>11318</v>
      </c>
      <c r="B324" s="26"/>
      <c r="C324" s="31" t="s">
        <v>1336</v>
      </c>
      <c r="D324" s="31" t="s">
        <v>1317</v>
      </c>
      <c r="E324" s="31" t="s">
        <v>15</v>
      </c>
      <c r="F324" t="s">
        <v>2254</v>
      </c>
      <c r="G324" t="s">
        <v>2253</v>
      </c>
    </row>
    <row r="325" spans="1:7" x14ac:dyDescent="0.25">
      <c r="A325" s="26">
        <v>11359</v>
      </c>
      <c r="B325" s="26"/>
      <c r="C325" s="31" t="s">
        <v>1341</v>
      </c>
      <c r="D325" s="31" t="s">
        <v>1317</v>
      </c>
      <c r="E325" s="31" t="s">
        <v>15</v>
      </c>
      <c r="F325" t="s">
        <v>2254</v>
      </c>
      <c r="G325" t="s">
        <v>2253</v>
      </c>
    </row>
    <row r="326" spans="1:7" x14ac:dyDescent="0.25">
      <c r="A326" s="26">
        <v>11524</v>
      </c>
      <c r="B326" s="26"/>
      <c r="C326" s="31" t="s">
        <v>1346</v>
      </c>
      <c r="D326" s="31" t="s">
        <v>1317</v>
      </c>
      <c r="E326" s="31" t="s">
        <v>15</v>
      </c>
      <c r="F326" t="s">
        <v>2254</v>
      </c>
      <c r="G326" t="s">
        <v>2253</v>
      </c>
    </row>
    <row r="327" spans="1:7" x14ac:dyDescent="0.25">
      <c r="A327" s="26">
        <v>11568</v>
      </c>
      <c r="B327" s="26"/>
      <c r="C327" s="31" t="s">
        <v>395</v>
      </c>
      <c r="D327" s="31" t="s">
        <v>1317</v>
      </c>
      <c r="E327" s="31" t="s">
        <v>15</v>
      </c>
      <c r="F327" t="s">
        <v>2254</v>
      </c>
      <c r="G327" t="s">
        <v>2253</v>
      </c>
    </row>
    <row r="328" spans="1:7" x14ac:dyDescent="0.25">
      <c r="A328" s="26">
        <v>11570</v>
      </c>
      <c r="B328" s="26"/>
      <c r="C328" s="31" t="s">
        <v>395</v>
      </c>
      <c r="D328" s="31" t="s">
        <v>1317</v>
      </c>
      <c r="E328" s="31" t="s">
        <v>15</v>
      </c>
      <c r="F328" t="s">
        <v>2254</v>
      </c>
      <c r="G328" t="s">
        <v>2253</v>
      </c>
    </row>
    <row r="329" spans="1:7" x14ac:dyDescent="0.25">
      <c r="A329" s="15">
        <v>12368</v>
      </c>
      <c r="B329" s="15"/>
      <c r="C329" s="31" t="s">
        <v>1327</v>
      </c>
      <c r="D329" s="31" t="s">
        <v>1317</v>
      </c>
      <c r="E329" s="16" t="s">
        <v>15</v>
      </c>
      <c r="F329" t="s">
        <v>2254</v>
      </c>
      <c r="G329" t="s">
        <v>2253</v>
      </c>
    </row>
    <row r="330" spans="1:7" x14ac:dyDescent="0.25">
      <c r="A330" s="26">
        <v>11256</v>
      </c>
      <c r="B330" s="26"/>
      <c r="C330" s="31" t="s">
        <v>1361</v>
      </c>
      <c r="D330" s="31" t="s">
        <v>1362</v>
      </c>
      <c r="E330" s="31" t="s">
        <v>17</v>
      </c>
      <c r="F330" t="s">
        <v>19</v>
      </c>
      <c r="G330" t="s">
        <v>2253</v>
      </c>
    </row>
    <row r="331" spans="1:7" x14ac:dyDescent="0.25">
      <c r="A331" s="26">
        <v>11287</v>
      </c>
      <c r="B331" s="26"/>
      <c r="C331" s="31" t="s">
        <v>1368</v>
      </c>
      <c r="D331" s="31" t="s">
        <v>1362</v>
      </c>
      <c r="E331" s="31" t="s">
        <v>17</v>
      </c>
      <c r="F331" t="s">
        <v>19</v>
      </c>
      <c r="G331" t="s">
        <v>2253</v>
      </c>
    </row>
    <row r="332" spans="1:7" x14ac:dyDescent="0.25">
      <c r="A332" s="26">
        <v>11371</v>
      </c>
      <c r="B332" s="26"/>
      <c r="C332" s="31" t="s">
        <v>1372</v>
      </c>
      <c r="D332" s="31" t="s">
        <v>1362</v>
      </c>
      <c r="E332" s="31" t="s">
        <v>17</v>
      </c>
      <c r="F332" t="s">
        <v>19</v>
      </c>
      <c r="G332" t="s">
        <v>2253</v>
      </c>
    </row>
    <row r="333" spans="1:7" x14ac:dyDescent="0.25">
      <c r="A333" s="26">
        <v>11412</v>
      </c>
      <c r="B333" s="26"/>
      <c r="C333" s="31" t="s">
        <v>1378</v>
      </c>
      <c r="D333" s="31" t="s">
        <v>1362</v>
      </c>
      <c r="E333" s="31" t="s">
        <v>17</v>
      </c>
      <c r="F333" t="s">
        <v>19</v>
      </c>
      <c r="G333" t="s">
        <v>2253</v>
      </c>
    </row>
    <row r="334" spans="1:7" x14ac:dyDescent="0.25">
      <c r="A334" s="26">
        <v>11573</v>
      </c>
      <c r="B334" s="26"/>
      <c r="C334" s="31" t="s">
        <v>2144</v>
      </c>
      <c r="D334" s="31" t="s">
        <v>1362</v>
      </c>
      <c r="E334" s="31" t="s">
        <v>17</v>
      </c>
      <c r="F334" t="s">
        <v>19</v>
      </c>
      <c r="G334" t="s">
        <v>2253</v>
      </c>
    </row>
    <row r="335" spans="1:7" x14ac:dyDescent="0.25">
      <c r="A335" s="26">
        <v>11030</v>
      </c>
      <c r="B335" s="26"/>
      <c r="C335" s="31" t="s">
        <v>1387</v>
      </c>
      <c r="D335" s="31" t="s">
        <v>1388</v>
      </c>
      <c r="E335" s="31" t="s">
        <v>17</v>
      </c>
      <c r="F335" t="s">
        <v>19</v>
      </c>
      <c r="G335" t="s">
        <v>2253</v>
      </c>
    </row>
    <row r="336" spans="1:7" x14ac:dyDescent="0.25">
      <c r="A336" s="26">
        <v>11059</v>
      </c>
      <c r="B336" s="26"/>
      <c r="C336" s="31" t="s">
        <v>1392</v>
      </c>
      <c r="D336" s="31" t="s">
        <v>1388</v>
      </c>
      <c r="E336" s="31" t="s">
        <v>17</v>
      </c>
      <c r="F336" t="s">
        <v>19</v>
      </c>
      <c r="G336" t="s">
        <v>2253</v>
      </c>
    </row>
    <row r="337" spans="1:7" x14ac:dyDescent="0.25">
      <c r="A337" s="26">
        <v>11323</v>
      </c>
      <c r="B337" s="26"/>
      <c r="C337" s="31" t="s">
        <v>1396</v>
      </c>
      <c r="D337" s="31" t="s">
        <v>1388</v>
      </c>
      <c r="E337" s="31" t="s">
        <v>17</v>
      </c>
      <c r="F337" t="s">
        <v>19</v>
      </c>
      <c r="G337" t="s">
        <v>2253</v>
      </c>
    </row>
    <row r="338" spans="1:7" x14ac:dyDescent="0.25">
      <c r="A338" s="26">
        <v>11333</v>
      </c>
      <c r="B338" s="26"/>
      <c r="C338" s="31" t="s">
        <v>1399</v>
      </c>
      <c r="D338" s="31" t="s">
        <v>1388</v>
      </c>
      <c r="E338" s="31" t="s">
        <v>17</v>
      </c>
      <c r="F338" t="s">
        <v>19</v>
      </c>
      <c r="G338" t="s">
        <v>2253</v>
      </c>
    </row>
    <row r="339" spans="1:7" x14ac:dyDescent="0.25">
      <c r="A339" s="26">
        <v>11370</v>
      </c>
      <c r="B339" s="26"/>
      <c r="C339" s="31" t="s">
        <v>1958</v>
      </c>
      <c r="D339" s="31" t="s">
        <v>1388</v>
      </c>
      <c r="E339" s="31" t="s">
        <v>17</v>
      </c>
      <c r="F339" t="s">
        <v>19</v>
      </c>
      <c r="G339" t="s">
        <v>2253</v>
      </c>
    </row>
    <row r="340" spans="1:7" x14ac:dyDescent="0.25">
      <c r="A340" s="26">
        <v>11376</v>
      </c>
      <c r="B340" s="26"/>
      <c r="C340" s="31" t="s">
        <v>1406</v>
      </c>
      <c r="D340" s="31" t="s">
        <v>1388</v>
      </c>
      <c r="E340" s="31" t="s">
        <v>17</v>
      </c>
      <c r="F340" t="s">
        <v>19</v>
      </c>
      <c r="G340" t="s">
        <v>2253</v>
      </c>
    </row>
    <row r="341" spans="1:7" x14ac:dyDescent="0.25">
      <c r="A341" s="26">
        <v>11381</v>
      </c>
      <c r="B341" s="26"/>
      <c r="C341" s="31" t="s">
        <v>1411</v>
      </c>
      <c r="D341" s="31" t="s">
        <v>1388</v>
      </c>
      <c r="E341" s="31" t="s">
        <v>17</v>
      </c>
      <c r="F341" t="s">
        <v>19</v>
      </c>
      <c r="G341" t="s">
        <v>2253</v>
      </c>
    </row>
    <row r="342" spans="1:7" x14ac:dyDescent="0.25">
      <c r="A342" s="26">
        <v>11434</v>
      </c>
      <c r="B342" s="26"/>
      <c r="C342" s="31" t="s">
        <v>1414</v>
      </c>
      <c r="D342" s="31" t="s">
        <v>1388</v>
      </c>
      <c r="E342" s="31" t="s">
        <v>17</v>
      </c>
      <c r="F342" t="s">
        <v>19</v>
      </c>
      <c r="G342" t="s">
        <v>2253</v>
      </c>
    </row>
    <row r="343" spans="1:7" x14ac:dyDescent="0.25">
      <c r="A343" s="26">
        <v>11575</v>
      </c>
      <c r="B343" s="26"/>
      <c r="C343" s="31" t="s">
        <v>1418</v>
      </c>
      <c r="D343" s="31" t="s">
        <v>1388</v>
      </c>
      <c r="E343" s="31" t="s">
        <v>17</v>
      </c>
      <c r="F343" t="s">
        <v>19</v>
      </c>
      <c r="G343" t="s">
        <v>2253</v>
      </c>
    </row>
    <row r="344" spans="1:7" x14ac:dyDescent="0.25">
      <c r="A344" s="26">
        <v>11864</v>
      </c>
      <c r="B344" s="26"/>
      <c r="C344" s="31" t="s">
        <v>2117</v>
      </c>
      <c r="D344" s="31" t="s">
        <v>1388</v>
      </c>
      <c r="E344" s="31" t="s">
        <v>17</v>
      </c>
      <c r="F344" t="s">
        <v>19</v>
      </c>
      <c r="G344" t="s">
        <v>2253</v>
      </c>
    </row>
    <row r="345" spans="1:7" x14ac:dyDescent="0.25">
      <c r="A345" s="26">
        <v>12329</v>
      </c>
      <c r="B345" s="26"/>
      <c r="C345" s="31" t="s">
        <v>1426</v>
      </c>
      <c r="D345" s="31" t="s">
        <v>1388</v>
      </c>
      <c r="E345" s="31" t="s">
        <v>17</v>
      </c>
      <c r="F345" t="s">
        <v>19</v>
      </c>
      <c r="G345" t="s">
        <v>2253</v>
      </c>
    </row>
    <row r="346" spans="1:7" x14ac:dyDescent="0.25">
      <c r="A346" s="26">
        <v>11119</v>
      </c>
      <c r="B346" s="26"/>
      <c r="C346" s="31" t="s">
        <v>1430</v>
      </c>
      <c r="D346" s="31" t="s">
        <v>1431</v>
      </c>
      <c r="E346" s="31" t="s">
        <v>17</v>
      </c>
      <c r="F346" t="s">
        <v>19</v>
      </c>
      <c r="G346" t="s">
        <v>2253</v>
      </c>
    </row>
    <row r="347" spans="1:7" x14ac:dyDescent="0.25">
      <c r="A347" s="26">
        <v>11216</v>
      </c>
      <c r="B347" s="26"/>
      <c r="C347" s="31" t="s">
        <v>1437</v>
      </c>
      <c r="D347" s="31" t="s">
        <v>1431</v>
      </c>
      <c r="E347" s="31" t="s">
        <v>17</v>
      </c>
      <c r="F347" t="s">
        <v>19</v>
      </c>
      <c r="G347" t="s">
        <v>2253</v>
      </c>
    </row>
    <row r="348" spans="1:7" x14ac:dyDescent="0.25">
      <c r="A348" s="26">
        <v>11261</v>
      </c>
      <c r="B348" s="26"/>
      <c r="C348" s="31" t="s">
        <v>1442</v>
      </c>
      <c r="D348" s="31" t="s">
        <v>1431</v>
      </c>
      <c r="E348" s="31" t="s">
        <v>17</v>
      </c>
      <c r="F348" t="s">
        <v>19</v>
      </c>
      <c r="G348" t="s">
        <v>2253</v>
      </c>
    </row>
    <row r="349" spans="1:7" x14ac:dyDescent="0.25">
      <c r="A349" s="26">
        <v>11427</v>
      </c>
      <c r="B349" s="26"/>
      <c r="C349" s="31" t="s">
        <v>1447</v>
      </c>
      <c r="D349" s="31" t="s">
        <v>1431</v>
      </c>
      <c r="E349" s="31" t="s">
        <v>17</v>
      </c>
      <c r="F349" t="s">
        <v>19</v>
      </c>
      <c r="G349" t="s">
        <v>2253</v>
      </c>
    </row>
    <row r="350" spans="1:7" x14ac:dyDescent="0.25">
      <c r="A350" s="26">
        <v>11466</v>
      </c>
      <c r="B350" s="26"/>
      <c r="C350" s="31" t="s">
        <v>1452</v>
      </c>
      <c r="D350" s="31" t="s">
        <v>1431</v>
      </c>
      <c r="E350" s="31" t="s">
        <v>17</v>
      </c>
      <c r="F350" t="s">
        <v>19</v>
      </c>
      <c r="G350" t="s">
        <v>2253</v>
      </c>
    </row>
    <row r="351" spans="1:7" x14ac:dyDescent="0.25">
      <c r="A351" s="26">
        <v>11498</v>
      </c>
      <c r="B351" s="26"/>
      <c r="C351" s="31" t="s">
        <v>1456</v>
      </c>
      <c r="D351" s="31" t="s">
        <v>1431</v>
      </c>
      <c r="E351" s="31" t="s">
        <v>17</v>
      </c>
      <c r="F351" t="s">
        <v>19</v>
      </c>
      <c r="G351" t="s">
        <v>2253</v>
      </c>
    </row>
    <row r="352" spans="1:7" x14ac:dyDescent="0.25">
      <c r="A352" s="26">
        <v>11562</v>
      </c>
      <c r="B352" s="26"/>
      <c r="C352" s="31" t="s">
        <v>1461</v>
      </c>
      <c r="D352" s="31" t="s">
        <v>1431</v>
      </c>
      <c r="E352" s="31" t="s">
        <v>17</v>
      </c>
      <c r="F352" t="s">
        <v>19</v>
      </c>
      <c r="G352" t="s">
        <v>2253</v>
      </c>
    </row>
    <row r="353" spans="1:7" x14ac:dyDescent="0.25">
      <c r="A353" s="26">
        <v>11646</v>
      </c>
      <c r="B353" s="26"/>
      <c r="C353" s="31" t="s">
        <v>1466</v>
      </c>
      <c r="D353" s="31" t="s">
        <v>1431</v>
      </c>
      <c r="E353" s="31" t="s">
        <v>17</v>
      </c>
      <c r="F353" t="s">
        <v>19</v>
      </c>
      <c r="G353" t="s">
        <v>2253</v>
      </c>
    </row>
    <row r="354" spans="1:7" x14ac:dyDescent="0.25">
      <c r="A354" s="26">
        <v>11798</v>
      </c>
      <c r="B354" s="26"/>
      <c r="C354" s="31" t="s">
        <v>2118</v>
      </c>
      <c r="D354" s="31" t="s">
        <v>1431</v>
      </c>
      <c r="E354" s="31" t="s">
        <v>17</v>
      </c>
      <c r="F354" t="s">
        <v>19</v>
      </c>
      <c r="G354" t="s">
        <v>2253</v>
      </c>
    </row>
    <row r="355" spans="1:7" x14ac:dyDescent="0.25">
      <c r="A355" s="26">
        <v>11875</v>
      </c>
      <c r="B355" s="26"/>
      <c r="C355" s="31" t="s">
        <v>1476</v>
      </c>
      <c r="D355" s="31" t="s">
        <v>1431</v>
      </c>
      <c r="E355" s="31" t="s">
        <v>17</v>
      </c>
      <c r="F355" t="s">
        <v>19</v>
      </c>
      <c r="G355" t="s">
        <v>2253</v>
      </c>
    </row>
    <row r="356" spans="1:7" x14ac:dyDescent="0.25">
      <c r="A356" s="26">
        <v>11160</v>
      </c>
      <c r="B356" s="26"/>
      <c r="C356" s="31" t="s">
        <v>1481</v>
      </c>
      <c r="D356" s="31" t="s">
        <v>1482</v>
      </c>
      <c r="E356" s="31" t="s">
        <v>17</v>
      </c>
      <c r="F356" t="s">
        <v>19</v>
      </c>
      <c r="G356" t="s">
        <v>2253</v>
      </c>
    </row>
    <row r="357" spans="1:7" x14ac:dyDescent="0.25">
      <c r="A357" s="26">
        <v>11177</v>
      </c>
      <c r="B357" s="26"/>
      <c r="C357" s="31" t="s">
        <v>1487</v>
      </c>
      <c r="D357" s="31" t="s">
        <v>1482</v>
      </c>
      <c r="E357" s="31" t="s">
        <v>17</v>
      </c>
      <c r="F357" t="s">
        <v>19</v>
      </c>
      <c r="G357" t="s">
        <v>2253</v>
      </c>
    </row>
    <row r="358" spans="1:7" x14ac:dyDescent="0.25">
      <c r="A358" s="26">
        <v>11285</v>
      </c>
      <c r="B358" s="26"/>
      <c r="C358" s="31" t="s">
        <v>2246</v>
      </c>
      <c r="D358" s="31" t="s">
        <v>1482</v>
      </c>
      <c r="E358" s="31" t="s">
        <v>17</v>
      </c>
      <c r="F358" t="s">
        <v>19</v>
      </c>
      <c r="G358" t="s">
        <v>2253</v>
      </c>
    </row>
    <row r="359" spans="1:7" x14ac:dyDescent="0.25">
      <c r="A359" s="26">
        <v>11324</v>
      </c>
      <c r="B359" s="26"/>
      <c r="C359" s="31" t="s">
        <v>1496</v>
      </c>
      <c r="D359" s="31" t="s">
        <v>1482</v>
      </c>
      <c r="E359" s="31" t="s">
        <v>17</v>
      </c>
      <c r="F359" t="s">
        <v>19</v>
      </c>
      <c r="G359" t="s">
        <v>2253</v>
      </c>
    </row>
    <row r="360" spans="1:7" x14ac:dyDescent="0.25">
      <c r="A360" s="26">
        <v>11337</v>
      </c>
      <c r="B360" s="26"/>
      <c r="C360" s="31" t="s">
        <v>1501</v>
      </c>
      <c r="D360" s="31" t="s">
        <v>1482</v>
      </c>
      <c r="E360" s="31" t="s">
        <v>17</v>
      </c>
      <c r="F360" t="s">
        <v>19</v>
      </c>
      <c r="G360" t="s">
        <v>2253</v>
      </c>
    </row>
    <row r="361" spans="1:7" x14ac:dyDescent="0.25">
      <c r="A361" s="26">
        <v>11430</v>
      </c>
      <c r="B361" s="26"/>
      <c r="C361" s="31" t="s">
        <v>1505</v>
      </c>
      <c r="D361" s="31" t="s">
        <v>1482</v>
      </c>
      <c r="E361" s="31" t="s">
        <v>17</v>
      </c>
      <c r="F361" t="s">
        <v>19</v>
      </c>
      <c r="G361" t="s">
        <v>2253</v>
      </c>
    </row>
    <row r="362" spans="1:7" x14ac:dyDescent="0.25">
      <c r="A362" s="26">
        <v>11459</v>
      </c>
      <c r="B362" s="26"/>
      <c r="C362" s="31" t="s">
        <v>1509</v>
      </c>
      <c r="D362" s="31" t="s">
        <v>1482</v>
      </c>
      <c r="E362" s="31" t="s">
        <v>17</v>
      </c>
      <c r="F362" t="s">
        <v>19</v>
      </c>
      <c r="G362" t="s">
        <v>2253</v>
      </c>
    </row>
    <row r="363" spans="1:7" x14ac:dyDescent="0.25">
      <c r="A363" s="26">
        <v>11599</v>
      </c>
      <c r="B363" s="26"/>
      <c r="C363" s="31" t="s">
        <v>1513</v>
      </c>
      <c r="D363" s="31" t="s">
        <v>1482</v>
      </c>
      <c r="E363" s="31" t="s">
        <v>17</v>
      </c>
      <c r="F363" t="s">
        <v>19</v>
      </c>
      <c r="G363" t="s">
        <v>2253</v>
      </c>
    </row>
    <row r="364" spans="1:7" x14ac:dyDescent="0.25">
      <c r="A364" s="26">
        <v>11620</v>
      </c>
      <c r="B364" s="26"/>
      <c r="C364" s="31" t="s">
        <v>1518</v>
      </c>
      <c r="D364" s="31" t="s">
        <v>1482</v>
      </c>
      <c r="E364" s="31" t="s">
        <v>17</v>
      </c>
      <c r="F364" t="s">
        <v>19</v>
      </c>
      <c r="G364" t="s">
        <v>2253</v>
      </c>
    </row>
    <row r="365" spans="1:7" x14ac:dyDescent="0.25">
      <c r="A365" s="26">
        <v>12301</v>
      </c>
      <c r="B365" s="26"/>
      <c r="C365" s="31" t="s">
        <v>1522</v>
      </c>
      <c r="D365" s="31" t="s">
        <v>1482</v>
      </c>
      <c r="E365" s="31" t="s">
        <v>17</v>
      </c>
      <c r="F365" t="s">
        <v>19</v>
      </c>
      <c r="G365" t="s">
        <v>2253</v>
      </c>
    </row>
    <row r="366" spans="1:7" x14ac:dyDescent="0.25">
      <c r="A366" s="26">
        <v>11109</v>
      </c>
      <c r="B366" s="26"/>
      <c r="C366" s="31" t="s">
        <v>1527</v>
      </c>
      <c r="D366" s="31" t="s">
        <v>1528</v>
      </c>
      <c r="E366" s="31" t="s">
        <v>17</v>
      </c>
      <c r="F366" t="s">
        <v>19</v>
      </c>
      <c r="G366" t="s">
        <v>2253</v>
      </c>
    </row>
    <row r="367" spans="1:7" x14ac:dyDescent="0.25">
      <c r="A367" s="26">
        <v>11205</v>
      </c>
      <c r="B367" s="26"/>
      <c r="C367" s="31" t="s">
        <v>1533</v>
      </c>
      <c r="D367" s="31" t="s">
        <v>1528</v>
      </c>
      <c r="E367" s="31" t="s">
        <v>17</v>
      </c>
      <c r="F367" t="s">
        <v>19</v>
      </c>
      <c r="G367" t="s">
        <v>2253</v>
      </c>
    </row>
    <row r="368" spans="1:7" x14ac:dyDescent="0.25">
      <c r="A368" s="26">
        <v>11226</v>
      </c>
      <c r="B368" s="26"/>
      <c r="C368" s="31" t="s">
        <v>1537</v>
      </c>
      <c r="D368" s="31" t="s">
        <v>1528</v>
      </c>
      <c r="E368" s="31" t="s">
        <v>17</v>
      </c>
      <c r="F368" t="s">
        <v>19</v>
      </c>
      <c r="G368" t="s">
        <v>2253</v>
      </c>
    </row>
    <row r="369" spans="1:7" x14ac:dyDescent="0.25">
      <c r="A369" s="26">
        <v>11232</v>
      </c>
      <c r="B369" s="26"/>
      <c r="C369" s="31" t="s">
        <v>1542</v>
      </c>
      <c r="D369" s="31" t="s">
        <v>1528</v>
      </c>
      <c r="E369" s="31" t="s">
        <v>17</v>
      </c>
      <c r="F369" t="s">
        <v>19</v>
      </c>
      <c r="G369" t="s">
        <v>2253</v>
      </c>
    </row>
    <row r="370" spans="1:7" x14ac:dyDescent="0.25">
      <c r="A370" s="26">
        <v>11331</v>
      </c>
      <c r="B370" s="26"/>
      <c r="C370" s="31" t="s">
        <v>1546</v>
      </c>
      <c r="D370" s="31" t="s">
        <v>1528</v>
      </c>
      <c r="E370" s="31" t="s">
        <v>17</v>
      </c>
      <c r="F370" t="s">
        <v>19</v>
      </c>
      <c r="G370" t="s">
        <v>2253</v>
      </c>
    </row>
    <row r="371" spans="1:7" x14ac:dyDescent="0.25">
      <c r="A371" s="26">
        <v>11479</v>
      </c>
      <c r="B371" s="26"/>
      <c r="C371" s="31" t="s">
        <v>1551</v>
      </c>
      <c r="D371" s="31" t="s">
        <v>1528</v>
      </c>
      <c r="E371" s="31" t="s">
        <v>17</v>
      </c>
      <c r="F371" t="s">
        <v>19</v>
      </c>
      <c r="G371" t="s">
        <v>2253</v>
      </c>
    </row>
    <row r="372" spans="1:7" x14ac:dyDescent="0.25">
      <c r="A372" s="26">
        <v>11621</v>
      </c>
      <c r="B372" s="26"/>
      <c r="C372" s="31" t="s">
        <v>1555</v>
      </c>
      <c r="D372" s="31" t="s">
        <v>1528</v>
      </c>
      <c r="E372" s="31" t="s">
        <v>17</v>
      </c>
      <c r="F372" t="s">
        <v>19</v>
      </c>
      <c r="G372" t="s">
        <v>2253</v>
      </c>
    </row>
    <row r="373" spans="1:7" x14ac:dyDescent="0.25">
      <c r="A373" s="26">
        <v>11831</v>
      </c>
      <c r="B373" s="26"/>
      <c r="C373" s="31" t="s">
        <v>2145</v>
      </c>
      <c r="D373" s="31" t="s">
        <v>1528</v>
      </c>
      <c r="E373" s="31" t="s">
        <v>17</v>
      </c>
      <c r="F373" t="s">
        <v>19</v>
      </c>
      <c r="G373" t="s">
        <v>2253</v>
      </c>
    </row>
    <row r="374" spans="1:7" x14ac:dyDescent="0.25">
      <c r="A374" s="26">
        <v>11861</v>
      </c>
      <c r="B374" s="26"/>
      <c r="C374" s="31" t="s">
        <v>1562</v>
      </c>
      <c r="D374" s="31" t="s">
        <v>1528</v>
      </c>
      <c r="E374" s="31" t="s">
        <v>17</v>
      </c>
      <c r="F374" t="s">
        <v>19</v>
      </c>
      <c r="G374" t="s">
        <v>2253</v>
      </c>
    </row>
    <row r="375" spans="1:7" x14ac:dyDescent="0.25">
      <c r="A375" s="26">
        <v>12383</v>
      </c>
      <c r="B375" s="26"/>
      <c r="C375" s="31" t="s">
        <v>2142</v>
      </c>
      <c r="D375" s="31" t="s">
        <v>1528</v>
      </c>
      <c r="E375" s="31" t="s">
        <v>17</v>
      </c>
      <c r="F375" t="s">
        <v>19</v>
      </c>
      <c r="G375" t="s">
        <v>2253</v>
      </c>
    </row>
    <row r="376" spans="1:7" x14ac:dyDescent="0.25">
      <c r="A376" s="26">
        <v>11040</v>
      </c>
      <c r="B376" s="26"/>
      <c r="C376" s="31" t="s">
        <v>1567</v>
      </c>
      <c r="D376" s="31" t="s">
        <v>1568</v>
      </c>
      <c r="E376" s="31" t="s">
        <v>17</v>
      </c>
      <c r="F376" t="s">
        <v>19</v>
      </c>
      <c r="G376" t="s">
        <v>2253</v>
      </c>
    </row>
    <row r="377" spans="1:7" x14ac:dyDescent="0.25">
      <c r="A377" s="26">
        <v>11176</v>
      </c>
      <c r="B377" s="26"/>
      <c r="C377" s="31" t="s">
        <v>1573</v>
      </c>
      <c r="D377" s="31" t="s">
        <v>1568</v>
      </c>
      <c r="E377" s="31" t="s">
        <v>17</v>
      </c>
      <c r="F377" t="s">
        <v>19</v>
      </c>
      <c r="G377" t="s">
        <v>2253</v>
      </c>
    </row>
    <row r="378" spans="1:7" x14ac:dyDescent="0.25">
      <c r="A378" s="26">
        <v>11262</v>
      </c>
      <c r="B378" s="26"/>
      <c r="C378" s="31" t="s">
        <v>1576</v>
      </c>
      <c r="D378" s="31" t="s">
        <v>1568</v>
      </c>
      <c r="E378" s="31" t="s">
        <v>17</v>
      </c>
      <c r="F378" t="s">
        <v>19</v>
      </c>
      <c r="G378" t="s">
        <v>2253</v>
      </c>
    </row>
    <row r="379" spans="1:7" x14ac:dyDescent="0.25">
      <c r="A379" s="26">
        <v>11351</v>
      </c>
      <c r="B379" s="26"/>
      <c r="C379" s="31" t="s">
        <v>1580</v>
      </c>
      <c r="D379" s="31" t="s">
        <v>1568</v>
      </c>
      <c r="E379" s="31" t="s">
        <v>17</v>
      </c>
      <c r="F379" t="s">
        <v>19</v>
      </c>
      <c r="G379" t="s">
        <v>2253</v>
      </c>
    </row>
    <row r="380" spans="1:7" x14ac:dyDescent="0.25">
      <c r="A380" s="26">
        <v>11425</v>
      </c>
      <c r="B380" s="26"/>
      <c r="C380" s="31" t="s">
        <v>1585</v>
      </c>
      <c r="D380" s="31" t="s">
        <v>1568</v>
      </c>
      <c r="E380" s="31" t="s">
        <v>17</v>
      </c>
      <c r="F380" t="s">
        <v>19</v>
      </c>
      <c r="G380" t="s">
        <v>2253</v>
      </c>
    </row>
    <row r="381" spans="1:7" x14ac:dyDescent="0.25">
      <c r="A381" s="26">
        <v>11489</v>
      </c>
      <c r="B381" s="26"/>
      <c r="C381" s="31" t="s">
        <v>1588</v>
      </c>
      <c r="D381" s="31" t="s">
        <v>1568</v>
      </c>
      <c r="E381" s="31" t="s">
        <v>17</v>
      </c>
      <c r="F381" t="s">
        <v>19</v>
      </c>
      <c r="G381" t="s">
        <v>2253</v>
      </c>
    </row>
    <row r="382" spans="1:7" x14ac:dyDescent="0.25">
      <c r="A382" s="26">
        <v>11536</v>
      </c>
      <c r="B382" s="26"/>
      <c r="C382" s="31" t="s">
        <v>1592</v>
      </c>
      <c r="D382" s="31" t="s">
        <v>1568</v>
      </c>
      <c r="E382" s="31" t="s">
        <v>17</v>
      </c>
      <c r="F382" t="s">
        <v>19</v>
      </c>
      <c r="G382" t="s">
        <v>2253</v>
      </c>
    </row>
    <row r="383" spans="1:7" x14ac:dyDescent="0.25">
      <c r="A383" s="26">
        <v>11845</v>
      </c>
      <c r="B383" s="26"/>
      <c r="C383" s="31" t="s">
        <v>1597</v>
      </c>
      <c r="D383" s="31" t="s">
        <v>1568</v>
      </c>
      <c r="E383" s="31" t="s">
        <v>17</v>
      </c>
      <c r="F383" t="s">
        <v>19</v>
      </c>
      <c r="G383" t="s">
        <v>2253</v>
      </c>
    </row>
    <row r="384" spans="1:7" x14ac:dyDescent="0.25">
      <c r="A384" s="26">
        <v>11898</v>
      </c>
      <c r="B384" s="26"/>
      <c r="C384" s="31" t="s">
        <v>1602</v>
      </c>
      <c r="D384" s="31" t="s">
        <v>1568</v>
      </c>
      <c r="E384" s="31" t="s">
        <v>17</v>
      </c>
      <c r="F384" t="s">
        <v>19</v>
      </c>
      <c r="G384" t="s">
        <v>2253</v>
      </c>
    </row>
    <row r="385" spans="1:7" x14ac:dyDescent="0.25">
      <c r="A385" s="26">
        <v>11092</v>
      </c>
      <c r="B385" s="26"/>
      <c r="C385" s="31" t="s">
        <v>1606</v>
      </c>
      <c r="D385" s="31" t="s">
        <v>1607</v>
      </c>
      <c r="E385" s="31" t="s">
        <v>17</v>
      </c>
      <c r="F385" t="s">
        <v>19</v>
      </c>
      <c r="G385" t="s">
        <v>2253</v>
      </c>
    </row>
    <row r="386" spans="1:7" x14ac:dyDescent="0.25">
      <c r="A386" s="26">
        <v>11112</v>
      </c>
      <c r="B386" s="26"/>
      <c r="C386" s="31" t="s">
        <v>1959</v>
      </c>
      <c r="D386" s="31" t="s">
        <v>1607</v>
      </c>
      <c r="E386" s="31" t="s">
        <v>17</v>
      </c>
      <c r="F386" t="s">
        <v>19</v>
      </c>
      <c r="G386" t="s">
        <v>2253</v>
      </c>
    </row>
    <row r="387" spans="1:7" x14ac:dyDescent="0.25">
      <c r="A387" s="26">
        <v>11325</v>
      </c>
      <c r="B387" s="26"/>
      <c r="C387" s="31" t="s">
        <v>1617</v>
      </c>
      <c r="D387" s="31" t="s">
        <v>1607</v>
      </c>
      <c r="E387" s="31" t="s">
        <v>17</v>
      </c>
      <c r="F387" t="s">
        <v>19</v>
      </c>
      <c r="G387" t="s">
        <v>2253</v>
      </c>
    </row>
    <row r="388" spans="1:7" x14ac:dyDescent="0.25">
      <c r="A388" s="26">
        <v>11332</v>
      </c>
      <c r="B388" s="26"/>
      <c r="C388" s="31" t="s">
        <v>1622</v>
      </c>
      <c r="D388" s="31" t="s">
        <v>1607</v>
      </c>
      <c r="E388" s="31" t="s">
        <v>17</v>
      </c>
      <c r="F388" t="s">
        <v>19</v>
      </c>
      <c r="G388" t="s">
        <v>2253</v>
      </c>
    </row>
    <row r="389" spans="1:7" x14ac:dyDescent="0.25">
      <c r="A389" s="26">
        <v>11451</v>
      </c>
      <c r="B389" s="26"/>
      <c r="C389" s="31" t="s">
        <v>1960</v>
      </c>
      <c r="D389" s="31" t="s">
        <v>1607</v>
      </c>
      <c r="E389" s="31" t="s">
        <v>17</v>
      </c>
      <c r="F389" t="s">
        <v>19</v>
      </c>
      <c r="G389" t="s">
        <v>2253</v>
      </c>
    </row>
    <row r="390" spans="1:7" x14ac:dyDescent="0.25">
      <c r="A390" s="26">
        <v>11517</v>
      </c>
      <c r="B390" s="26"/>
      <c r="C390" s="31" t="s">
        <v>1631</v>
      </c>
      <c r="D390" s="31" t="s">
        <v>1607</v>
      </c>
      <c r="E390" s="31" t="s">
        <v>17</v>
      </c>
      <c r="F390" t="s">
        <v>19</v>
      </c>
      <c r="G390" t="s">
        <v>2253</v>
      </c>
    </row>
    <row r="391" spans="1:7" x14ac:dyDescent="0.25">
      <c r="A391" s="26">
        <v>11640</v>
      </c>
      <c r="B391" s="26"/>
      <c r="C391" s="31" t="s">
        <v>1635</v>
      </c>
      <c r="D391" s="31" t="s">
        <v>1607</v>
      </c>
      <c r="E391" s="31" t="s">
        <v>17</v>
      </c>
      <c r="F391" t="s">
        <v>19</v>
      </c>
      <c r="G391" t="s">
        <v>2253</v>
      </c>
    </row>
    <row r="392" spans="1:7" x14ac:dyDescent="0.25">
      <c r="A392" s="26">
        <v>11883</v>
      </c>
      <c r="B392" s="26"/>
      <c r="C392" s="31" t="s">
        <v>1640</v>
      </c>
      <c r="D392" s="31" t="s">
        <v>1607</v>
      </c>
      <c r="E392" s="31" t="s">
        <v>17</v>
      </c>
      <c r="F392" t="s">
        <v>19</v>
      </c>
      <c r="G392" t="s">
        <v>2253</v>
      </c>
    </row>
    <row r="393" spans="1:7" x14ac:dyDescent="0.25">
      <c r="A393" s="26">
        <v>11956</v>
      </c>
      <c r="B393" s="26"/>
      <c r="C393" s="31" t="s">
        <v>1961</v>
      </c>
      <c r="D393" s="31" t="s">
        <v>1607</v>
      </c>
      <c r="E393" s="31" t="s">
        <v>17</v>
      </c>
      <c r="F393" t="s">
        <v>19</v>
      </c>
      <c r="G393" t="s">
        <v>2253</v>
      </c>
    </row>
    <row r="394" spans="1:7" x14ac:dyDescent="0.25">
      <c r="A394" s="26">
        <v>11989</v>
      </c>
      <c r="B394" s="26"/>
      <c r="C394" s="31" t="s">
        <v>1647</v>
      </c>
      <c r="D394" s="31" t="s">
        <v>1607</v>
      </c>
      <c r="E394" s="31" t="s">
        <v>17</v>
      </c>
      <c r="F394" t="s">
        <v>19</v>
      </c>
      <c r="G394" t="s">
        <v>2253</v>
      </c>
    </row>
    <row r="395" spans="1:7" x14ac:dyDescent="0.25">
      <c r="A395" s="26">
        <v>12336</v>
      </c>
      <c r="B395" s="26"/>
      <c r="C395" s="31" t="s">
        <v>2119</v>
      </c>
      <c r="D395" s="31" t="s">
        <v>1607</v>
      </c>
      <c r="E395" s="31" t="s">
        <v>17</v>
      </c>
      <c r="F395" t="s">
        <v>19</v>
      </c>
      <c r="G395" t="s">
        <v>2253</v>
      </c>
    </row>
    <row r="396" spans="1:7" x14ac:dyDescent="0.25">
      <c r="A396" s="26">
        <v>12345</v>
      </c>
      <c r="B396" s="26"/>
      <c r="C396" s="31" t="s">
        <v>2120</v>
      </c>
      <c r="D396" s="31" t="s">
        <v>1607</v>
      </c>
      <c r="E396" s="31" t="s">
        <v>17</v>
      </c>
      <c r="F396" t="s">
        <v>19</v>
      </c>
      <c r="G396" t="s">
        <v>2253</v>
      </c>
    </row>
    <row r="397" spans="1:7" x14ac:dyDescent="0.25">
      <c r="A397" s="26">
        <v>11039</v>
      </c>
      <c r="B397" s="26"/>
      <c r="C397" s="31" t="s">
        <v>1657</v>
      </c>
      <c r="D397" s="31" t="s">
        <v>1658</v>
      </c>
      <c r="E397" s="31" t="s">
        <v>17</v>
      </c>
      <c r="F397" t="s">
        <v>19</v>
      </c>
      <c r="G397" t="s">
        <v>2253</v>
      </c>
    </row>
    <row r="398" spans="1:7" x14ac:dyDescent="0.25">
      <c r="A398" s="26">
        <v>11065</v>
      </c>
      <c r="B398" s="26"/>
      <c r="C398" s="31" t="s">
        <v>1664</v>
      </c>
      <c r="D398" s="31" t="s">
        <v>1658</v>
      </c>
      <c r="E398" s="31" t="s">
        <v>17</v>
      </c>
      <c r="F398" t="s">
        <v>19</v>
      </c>
      <c r="G398" t="s">
        <v>2253</v>
      </c>
    </row>
    <row r="399" spans="1:7" x14ac:dyDescent="0.25">
      <c r="A399" s="26">
        <v>11128</v>
      </c>
      <c r="B399" s="26"/>
      <c r="C399" s="31" t="s">
        <v>1668</v>
      </c>
      <c r="D399" s="31" t="s">
        <v>1658</v>
      </c>
      <c r="E399" s="31" t="s">
        <v>17</v>
      </c>
      <c r="F399" t="s">
        <v>19</v>
      </c>
      <c r="G399" t="s">
        <v>2253</v>
      </c>
    </row>
    <row r="400" spans="1:7" x14ac:dyDescent="0.25">
      <c r="A400" s="26">
        <v>11327</v>
      </c>
      <c r="B400" s="26"/>
      <c r="C400" s="31" t="s">
        <v>1672</v>
      </c>
      <c r="D400" s="31" t="s">
        <v>1658</v>
      </c>
      <c r="E400" s="31" t="s">
        <v>17</v>
      </c>
      <c r="F400" t="s">
        <v>19</v>
      </c>
      <c r="G400" t="s">
        <v>2253</v>
      </c>
    </row>
    <row r="401" spans="1:7" x14ac:dyDescent="0.25">
      <c r="A401" s="26">
        <v>11336</v>
      </c>
      <c r="B401" s="26"/>
      <c r="C401" s="31" t="s">
        <v>1676</v>
      </c>
      <c r="D401" s="31" t="s">
        <v>1658</v>
      </c>
      <c r="E401" s="31" t="s">
        <v>17</v>
      </c>
      <c r="F401" t="s">
        <v>19</v>
      </c>
      <c r="G401" t="s">
        <v>2253</v>
      </c>
    </row>
    <row r="402" spans="1:7" x14ac:dyDescent="0.25">
      <c r="A402" s="26">
        <v>11411</v>
      </c>
      <c r="B402" s="26"/>
      <c r="C402" s="31" t="s">
        <v>1681</v>
      </c>
      <c r="D402" s="31" t="s">
        <v>1658</v>
      </c>
      <c r="E402" s="31" t="s">
        <v>17</v>
      </c>
      <c r="F402" t="s">
        <v>19</v>
      </c>
      <c r="G402" t="s">
        <v>2253</v>
      </c>
    </row>
    <row r="403" spans="1:7" x14ac:dyDescent="0.25">
      <c r="A403" s="26">
        <v>11582</v>
      </c>
      <c r="B403" s="26"/>
      <c r="C403" s="31" t="s">
        <v>1684</v>
      </c>
      <c r="D403" s="31" t="s">
        <v>1658</v>
      </c>
      <c r="E403" s="31" t="s">
        <v>17</v>
      </c>
      <c r="F403" t="s">
        <v>19</v>
      </c>
      <c r="G403" t="s">
        <v>2253</v>
      </c>
    </row>
    <row r="404" spans="1:7" x14ac:dyDescent="0.25">
      <c r="A404" s="26">
        <v>11604</v>
      </c>
      <c r="B404" s="26"/>
      <c r="C404" s="31" t="s">
        <v>1689</v>
      </c>
      <c r="D404" s="31" t="s">
        <v>1658</v>
      </c>
      <c r="E404" s="31" t="s">
        <v>17</v>
      </c>
      <c r="F404" t="s">
        <v>19</v>
      </c>
      <c r="G404" t="s">
        <v>2253</v>
      </c>
    </row>
    <row r="405" spans="1:7" x14ac:dyDescent="0.25">
      <c r="A405" s="26">
        <v>11817</v>
      </c>
      <c r="B405" s="26"/>
      <c r="C405" s="31" t="s">
        <v>1694</v>
      </c>
      <c r="D405" s="31" t="s">
        <v>1658</v>
      </c>
      <c r="E405" s="31" t="s">
        <v>17</v>
      </c>
      <c r="F405" t="s">
        <v>19</v>
      </c>
      <c r="G405" t="s">
        <v>2253</v>
      </c>
    </row>
    <row r="406" spans="1:7" x14ac:dyDescent="0.25">
      <c r="A406" s="26">
        <v>11856</v>
      </c>
      <c r="B406" s="26"/>
      <c r="C406" s="31" t="s">
        <v>1698</v>
      </c>
      <c r="D406" s="31" t="s">
        <v>1658</v>
      </c>
      <c r="E406" s="31" t="s">
        <v>17</v>
      </c>
      <c r="F406" t="s">
        <v>19</v>
      </c>
      <c r="G406" t="s">
        <v>2253</v>
      </c>
    </row>
    <row r="407" spans="1:7" x14ac:dyDescent="0.25">
      <c r="A407" s="26">
        <v>12346</v>
      </c>
      <c r="B407" s="26"/>
      <c r="C407" s="31" t="s">
        <v>2121</v>
      </c>
      <c r="D407" s="31" t="s">
        <v>1658</v>
      </c>
      <c r="E407" s="31" t="s">
        <v>17</v>
      </c>
      <c r="F407" t="s">
        <v>19</v>
      </c>
      <c r="G407" t="s">
        <v>2253</v>
      </c>
    </row>
    <row r="408" spans="1:7" x14ac:dyDescent="0.25">
      <c r="A408" s="15">
        <v>11122</v>
      </c>
      <c r="B408" s="15"/>
      <c r="C408" s="31" t="s">
        <v>1813</v>
      </c>
      <c r="D408" s="16" t="s">
        <v>1708</v>
      </c>
      <c r="E408" s="16" t="s">
        <v>395</v>
      </c>
      <c r="F408" t="s">
        <v>19</v>
      </c>
      <c r="G408" t="s">
        <v>2253</v>
      </c>
    </row>
    <row r="409" spans="1:7" x14ac:dyDescent="0.25">
      <c r="A409" s="15">
        <v>11147</v>
      </c>
      <c r="B409" s="15"/>
      <c r="C409" s="31" t="s">
        <v>1707</v>
      </c>
      <c r="D409" s="16" t="s">
        <v>1708</v>
      </c>
      <c r="E409" s="16" t="s">
        <v>395</v>
      </c>
      <c r="F409" t="s">
        <v>19</v>
      </c>
      <c r="G409" t="s">
        <v>2253</v>
      </c>
    </row>
    <row r="410" spans="1:7" x14ac:dyDescent="0.25">
      <c r="A410" s="15">
        <v>11158</v>
      </c>
      <c r="B410" s="15"/>
      <c r="C410" s="31" t="s">
        <v>1714</v>
      </c>
      <c r="D410" s="16" t="s">
        <v>1708</v>
      </c>
      <c r="E410" s="16" t="s">
        <v>395</v>
      </c>
      <c r="F410" t="s">
        <v>19</v>
      </c>
      <c r="G410" t="s">
        <v>2253</v>
      </c>
    </row>
    <row r="411" spans="1:7" x14ac:dyDescent="0.25">
      <c r="A411" s="15">
        <v>11303</v>
      </c>
      <c r="B411" s="15"/>
      <c r="C411" s="31" t="s">
        <v>1719</v>
      </c>
      <c r="D411" s="16" t="s">
        <v>1708</v>
      </c>
      <c r="E411" s="16" t="s">
        <v>395</v>
      </c>
      <c r="F411" t="s">
        <v>19</v>
      </c>
      <c r="G411" t="s">
        <v>2253</v>
      </c>
    </row>
    <row r="412" spans="1:7" x14ac:dyDescent="0.25">
      <c r="A412" s="15">
        <v>11304</v>
      </c>
      <c r="B412" s="15"/>
      <c r="C412" s="31" t="s">
        <v>1724</v>
      </c>
      <c r="D412" s="16" t="s">
        <v>1708</v>
      </c>
      <c r="E412" s="16" t="s">
        <v>395</v>
      </c>
      <c r="F412" t="s">
        <v>19</v>
      </c>
      <c r="G412" t="s">
        <v>2253</v>
      </c>
    </row>
    <row r="413" spans="1:7" x14ac:dyDescent="0.25">
      <c r="A413" s="15">
        <v>11368</v>
      </c>
      <c r="B413" s="15"/>
      <c r="C413" s="31" t="s">
        <v>1825</v>
      </c>
      <c r="D413" s="16" t="s">
        <v>1708</v>
      </c>
      <c r="E413" s="16" t="s">
        <v>395</v>
      </c>
      <c r="F413" t="s">
        <v>19</v>
      </c>
      <c r="G413" t="s">
        <v>2253</v>
      </c>
    </row>
    <row r="414" spans="1:7" x14ac:dyDescent="0.25">
      <c r="A414" s="15">
        <v>11462</v>
      </c>
      <c r="B414" s="15"/>
      <c r="C414" s="31" t="s">
        <v>1729</v>
      </c>
      <c r="D414" s="16" t="s">
        <v>1708</v>
      </c>
      <c r="E414" s="16" t="s">
        <v>395</v>
      </c>
      <c r="F414" t="s">
        <v>19</v>
      </c>
      <c r="G414" t="s">
        <v>2253</v>
      </c>
    </row>
    <row r="415" spans="1:7" x14ac:dyDescent="0.25">
      <c r="A415" s="15">
        <v>11464</v>
      </c>
      <c r="B415" s="15"/>
      <c r="C415" s="31" t="s">
        <v>1830</v>
      </c>
      <c r="D415" s="16" t="s">
        <v>1708</v>
      </c>
      <c r="E415" s="16" t="s">
        <v>395</v>
      </c>
      <c r="F415" t="s">
        <v>19</v>
      </c>
      <c r="G415" t="s">
        <v>2253</v>
      </c>
    </row>
    <row r="416" spans="1:7" x14ac:dyDescent="0.25">
      <c r="A416" s="15">
        <v>11523</v>
      </c>
      <c r="B416" s="15"/>
      <c r="C416" s="31" t="s">
        <v>1733</v>
      </c>
      <c r="D416" s="16" t="s">
        <v>1708</v>
      </c>
      <c r="E416" s="16" t="s">
        <v>395</v>
      </c>
      <c r="F416" t="s">
        <v>19</v>
      </c>
      <c r="G416" t="s">
        <v>2253</v>
      </c>
    </row>
    <row r="417" spans="1:7" x14ac:dyDescent="0.25">
      <c r="A417" s="15">
        <v>11935</v>
      </c>
      <c r="B417" s="15"/>
      <c r="C417" s="31" t="s">
        <v>1738</v>
      </c>
      <c r="D417" s="16" t="s">
        <v>1708</v>
      </c>
      <c r="E417" s="16" t="s">
        <v>395</v>
      </c>
      <c r="F417" t="s">
        <v>19</v>
      </c>
      <c r="G417" t="s">
        <v>2253</v>
      </c>
    </row>
    <row r="418" spans="1:7" x14ac:dyDescent="0.25">
      <c r="A418" s="15">
        <v>11175</v>
      </c>
      <c r="B418" s="15"/>
      <c r="C418" s="31" t="s">
        <v>1750</v>
      </c>
      <c r="D418" s="16" t="s">
        <v>1867</v>
      </c>
      <c r="E418" s="16" t="s">
        <v>395</v>
      </c>
      <c r="F418" t="s">
        <v>19</v>
      </c>
      <c r="G418" t="s">
        <v>2253</v>
      </c>
    </row>
    <row r="419" spans="1:7" x14ac:dyDescent="0.25">
      <c r="A419" s="15">
        <v>11212</v>
      </c>
      <c r="B419" s="15"/>
      <c r="C419" s="31" t="s">
        <v>1857</v>
      </c>
      <c r="D419" s="16" t="s">
        <v>1867</v>
      </c>
      <c r="E419" s="16" t="s">
        <v>395</v>
      </c>
      <c r="F419" t="s">
        <v>19</v>
      </c>
      <c r="G419" t="s">
        <v>2253</v>
      </c>
    </row>
    <row r="420" spans="1:7" x14ac:dyDescent="0.25">
      <c r="A420" s="15">
        <v>11457</v>
      </c>
      <c r="B420" s="15"/>
      <c r="C420" s="31" t="s">
        <v>1769</v>
      </c>
      <c r="D420" s="16" t="s">
        <v>1867</v>
      </c>
      <c r="E420" s="16" t="s">
        <v>395</v>
      </c>
      <c r="F420" t="s">
        <v>19</v>
      </c>
      <c r="G420" t="s">
        <v>2253</v>
      </c>
    </row>
    <row r="421" spans="1:7" x14ac:dyDescent="0.25">
      <c r="A421" s="15">
        <v>11471</v>
      </c>
      <c r="B421" s="15"/>
      <c r="C421" s="31" t="s">
        <v>2460</v>
      </c>
      <c r="D421" s="16" t="s">
        <v>1867</v>
      </c>
      <c r="E421" s="16" t="s">
        <v>395</v>
      </c>
      <c r="F421" t="s">
        <v>19</v>
      </c>
      <c r="G421" t="s">
        <v>2253</v>
      </c>
    </row>
    <row r="422" spans="1:7" x14ac:dyDescent="0.25">
      <c r="A422" s="15">
        <v>11511</v>
      </c>
      <c r="B422" s="15"/>
      <c r="C422" s="31" t="s">
        <v>1784</v>
      </c>
      <c r="D422" s="16" t="s">
        <v>1867</v>
      </c>
      <c r="E422" s="16" t="s">
        <v>395</v>
      </c>
      <c r="F422" t="s">
        <v>19</v>
      </c>
      <c r="G422" t="s">
        <v>2253</v>
      </c>
    </row>
    <row r="423" spans="1:7" x14ac:dyDescent="0.25">
      <c r="A423" s="15">
        <v>11619</v>
      </c>
      <c r="B423" s="15"/>
      <c r="C423" s="31" t="s">
        <v>2123</v>
      </c>
      <c r="D423" s="16" t="s">
        <v>1867</v>
      </c>
      <c r="E423" s="16" t="s">
        <v>395</v>
      </c>
      <c r="F423" t="s">
        <v>19</v>
      </c>
      <c r="G423" t="s">
        <v>2253</v>
      </c>
    </row>
    <row r="424" spans="1:7" x14ac:dyDescent="0.25">
      <c r="A424" s="15">
        <v>11647</v>
      </c>
      <c r="B424" s="15"/>
      <c r="C424" s="31" t="s">
        <v>1848</v>
      </c>
      <c r="D424" s="16" t="s">
        <v>1867</v>
      </c>
      <c r="E424" s="16" t="s">
        <v>395</v>
      </c>
      <c r="F424" t="s">
        <v>19</v>
      </c>
      <c r="G424" t="s">
        <v>2253</v>
      </c>
    </row>
    <row r="425" spans="1:7" x14ac:dyDescent="0.25">
      <c r="A425" s="15">
        <v>11770</v>
      </c>
      <c r="B425" s="15"/>
      <c r="C425" s="31" t="s">
        <v>2124</v>
      </c>
      <c r="D425" s="16" t="s">
        <v>1867</v>
      </c>
      <c r="E425" s="16" t="s">
        <v>395</v>
      </c>
      <c r="F425" t="s">
        <v>19</v>
      </c>
      <c r="G425" t="s">
        <v>2253</v>
      </c>
    </row>
    <row r="426" spans="1:7" x14ac:dyDescent="0.25">
      <c r="A426" s="15">
        <v>11326</v>
      </c>
      <c r="B426" s="15"/>
      <c r="C426" s="31" t="s">
        <v>1917</v>
      </c>
      <c r="D426" s="16" t="s">
        <v>1806</v>
      </c>
      <c r="E426" s="16" t="s">
        <v>395</v>
      </c>
      <c r="F426" t="s">
        <v>19</v>
      </c>
      <c r="G426" t="s">
        <v>2253</v>
      </c>
    </row>
    <row r="427" spans="1:7" x14ac:dyDescent="0.25">
      <c r="A427" s="15">
        <v>11328</v>
      </c>
      <c r="B427" s="15"/>
      <c r="C427" s="31" t="s">
        <v>1862</v>
      </c>
      <c r="D427" s="16" t="s">
        <v>1806</v>
      </c>
      <c r="E427" s="16" t="s">
        <v>395</v>
      </c>
      <c r="F427" t="s">
        <v>19</v>
      </c>
      <c r="G427" t="s">
        <v>2253</v>
      </c>
    </row>
    <row r="428" spans="1:7" x14ac:dyDescent="0.25">
      <c r="A428" s="15">
        <v>11432</v>
      </c>
      <c r="B428" s="15"/>
      <c r="C428" s="31" t="s">
        <v>1764</v>
      </c>
      <c r="D428" s="16" t="s">
        <v>1806</v>
      </c>
      <c r="E428" s="16" t="s">
        <v>395</v>
      </c>
      <c r="F428" t="s">
        <v>19</v>
      </c>
      <c r="G428" t="s">
        <v>2253</v>
      </c>
    </row>
    <row r="429" spans="1:7" x14ac:dyDescent="0.25">
      <c r="A429" s="15">
        <v>11455</v>
      </c>
      <c r="B429" s="15"/>
      <c r="C429" s="31" t="s">
        <v>1743</v>
      </c>
      <c r="D429" s="16" t="s">
        <v>1806</v>
      </c>
      <c r="E429" s="16" t="s">
        <v>395</v>
      </c>
      <c r="F429" t="s">
        <v>19</v>
      </c>
      <c r="G429" t="s">
        <v>2253</v>
      </c>
    </row>
    <row r="430" spans="1:7" x14ac:dyDescent="0.25">
      <c r="A430" s="15">
        <v>11518</v>
      </c>
      <c r="B430" s="15"/>
      <c r="C430" s="31" t="s">
        <v>1876</v>
      </c>
      <c r="D430" s="16" t="s">
        <v>1806</v>
      </c>
      <c r="E430" s="16" t="s">
        <v>395</v>
      </c>
      <c r="F430" t="s">
        <v>19</v>
      </c>
      <c r="G430" t="s">
        <v>2253</v>
      </c>
    </row>
    <row r="431" spans="1:7" x14ac:dyDescent="0.25">
      <c r="A431" s="15">
        <v>11603</v>
      </c>
      <c r="B431" s="15"/>
      <c r="C431" s="31" t="s">
        <v>1881</v>
      </c>
      <c r="D431" s="16" t="s">
        <v>1806</v>
      </c>
      <c r="E431" s="16" t="s">
        <v>395</v>
      </c>
      <c r="F431" t="s">
        <v>19</v>
      </c>
      <c r="G431" t="s">
        <v>2253</v>
      </c>
    </row>
    <row r="432" spans="1:7" x14ac:dyDescent="0.25">
      <c r="A432" s="15">
        <v>11618</v>
      </c>
      <c r="B432" s="15"/>
      <c r="C432" s="31" t="s">
        <v>1907</v>
      </c>
      <c r="D432" s="16" t="s">
        <v>1806</v>
      </c>
      <c r="E432" s="16" t="s">
        <v>395</v>
      </c>
      <c r="F432" t="s">
        <v>19</v>
      </c>
      <c r="G432" t="s">
        <v>2253</v>
      </c>
    </row>
    <row r="433" spans="1:7" x14ac:dyDescent="0.25">
      <c r="A433" s="15">
        <v>11645</v>
      </c>
      <c r="B433" s="15"/>
      <c r="C433" s="31" t="s">
        <v>1886</v>
      </c>
      <c r="D433" s="16" t="s">
        <v>1806</v>
      </c>
      <c r="E433" s="16" t="s">
        <v>395</v>
      </c>
      <c r="F433" t="s">
        <v>19</v>
      </c>
      <c r="G433" t="s">
        <v>2253</v>
      </c>
    </row>
    <row r="434" spans="1:7" x14ac:dyDescent="0.25">
      <c r="A434" s="15">
        <v>12338</v>
      </c>
      <c r="B434" s="15"/>
      <c r="C434" s="31" t="s">
        <v>1937</v>
      </c>
      <c r="D434" s="16" t="s">
        <v>1806</v>
      </c>
      <c r="E434" s="16" t="s">
        <v>395</v>
      </c>
      <c r="F434" t="s">
        <v>19</v>
      </c>
      <c r="G434" t="s">
        <v>2253</v>
      </c>
    </row>
    <row r="435" spans="1:7" x14ac:dyDescent="0.25">
      <c r="A435" s="15">
        <v>12351</v>
      </c>
      <c r="B435" s="15"/>
      <c r="C435" s="31" t="s">
        <v>1941</v>
      </c>
      <c r="D435" s="16" t="s">
        <v>1806</v>
      </c>
      <c r="E435" s="16" t="s">
        <v>395</v>
      </c>
      <c r="F435" t="s">
        <v>19</v>
      </c>
      <c r="G435" t="s">
        <v>2253</v>
      </c>
    </row>
    <row r="436" spans="1:7" x14ac:dyDescent="0.25">
      <c r="A436" s="15">
        <v>12353</v>
      </c>
      <c r="B436" s="15"/>
      <c r="C436" s="31" t="s">
        <v>2149</v>
      </c>
      <c r="D436" s="16" t="s">
        <v>1806</v>
      </c>
      <c r="E436" s="16" t="s">
        <v>395</v>
      </c>
      <c r="F436" t="s">
        <v>19</v>
      </c>
      <c r="G436" t="s">
        <v>2253</v>
      </c>
    </row>
    <row r="437" spans="1:7" x14ac:dyDescent="0.25">
      <c r="A437" s="15">
        <v>11002</v>
      </c>
      <c r="B437" s="15"/>
      <c r="C437" s="31" t="s">
        <v>2462</v>
      </c>
      <c r="D437" s="16" t="s">
        <v>1849</v>
      </c>
      <c r="E437" s="16" t="s">
        <v>395</v>
      </c>
      <c r="F437" t="s">
        <v>19</v>
      </c>
      <c r="G437" t="s">
        <v>2253</v>
      </c>
    </row>
    <row r="438" spans="1:7" x14ac:dyDescent="0.25">
      <c r="A438" s="15">
        <v>11006</v>
      </c>
      <c r="B438" s="15"/>
      <c r="C438" s="31" t="s">
        <v>2459</v>
      </c>
      <c r="D438" s="16" t="s">
        <v>1849</v>
      </c>
      <c r="E438" s="16" t="s">
        <v>395</v>
      </c>
      <c r="F438" t="s">
        <v>19</v>
      </c>
      <c r="G438" t="s">
        <v>2253</v>
      </c>
    </row>
    <row r="439" spans="1:7" x14ac:dyDescent="0.25">
      <c r="A439" s="15">
        <v>11069</v>
      </c>
      <c r="B439" s="15"/>
      <c r="C439" s="31" t="s">
        <v>1903</v>
      </c>
      <c r="D439" s="16" t="s">
        <v>1849</v>
      </c>
      <c r="E439" s="16" t="s">
        <v>395</v>
      </c>
      <c r="F439" t="s">
        <v>19</v>
      </c>
      <c r="G439" t="s">
        <v>2253</v>
      </c>
    </row>
    <row r="440" spans="1:7" x14ac:dyDescent="0.25">
      <c r="A440" s="15">
        <v>11221</v>
      </c>
      <c r="B440" s="15"/>
      <c r="C440" s="31" t="s">
        <v>1755</v>
      </c>
      <c r="D440" s="16" t="s">
        <v>1849</v>
      </c>
      <c r="E440" s="16" t="s">
        <v>395</v>
      </c>
      <c r="F440" t="s">
        <v>19</v>
      </c>
      <c r="G440" t="s">
        <v>2253</v>
      </c>
    </row>
    <row r="441" spans="1:7" x14ac:dyDescent="0.25">
      <c r="A441" s="15">
        <v>11247</v>
      </c>
      <c r="B441" s="15"/>
      <c r="C441" s="31" t="s">
        <v>2141</v>
      </c>
      <c r="D441" s="16" t="s">
        <v>1849</v>
      </c>
      <c r="E441" s="16" t="s">
        <v>395</v>
      </c>
      <c r="F441" t="s">
        <v>19</v>
      </c>
      <c r="G441" t="s">
        <v>2253</v>
      </c>
    </row>
    <row r="442" spans="1:7" x14ac:dyDescent="0.25">
      <c r="A442" s="15">
        <v>11473</v>
      </c>
      <c r="B442" s="15"/>
      <c r="C442" s="31" t="s">
        <v>1774</v>
      </c>
      <c r="D442" s="16" t="s">
        <v>1849</v>
      </c>
      <c r="E442" s="16" t="s">
        <v>395</v>
      </c>
      <c r="F442" t="s">
        <v>19</v>
      </c>
      <c r="G442" t="s">
        <v>2253</v>
      </c>
    </row>
    <row r="443" spans="1:7" x14ac:dyDescent="0.25">
      <c r="A443" s="15">
        <v>11482</v>
      </c>
      <c r="B443" s="15"/>
      <c r="C443" s="31" t="s">
        <v>1778</v>
      </c>
      <c r="D443" s="16" t="s">
        <v>1849</v>
      </c>
      <c r="E443" s="16" t="s">
        <v>395</v>
      </c>
      <c r="F443" t="s">
        <v>19</v>
      </c>
      <c r="G443" t="s">
        <v>2253</v>
      </c>
    </row>
    <row r="444" spans="1:7" x14ac:dyDescent="0.25">
      <c r="A444" s="15">
        <v>11519</v>
      </c>
      <c r="B444" s="15"/>
      <c r="C444" s="31" t="s">
        <v>2122</v>
      </c>
      <c r="D444" s="16" t="s">
        <v>1849</v>
      </c>
      <c r="E444" s="16" t="s">
        <v>395</v>
      </c>
      <c r="F444" t="s">
        <v>19</v>
      </c>
      <c r="G444" t="s">
        <v>2253</v>
      </c>
    </row>
    <row r="445" spans="1:7" x14ac:dyDescent="0.25">
      <c r="A445" s="15">
        <v>12310</v>
      </c>
      <c r="B445" s="15"/>
      <c r="C445" s="31" t="s">
        <v>1898</v>
      </c>
      <c r="D445" s="16" t="s">
        <v>1849</v>
      </c>
      <c r="E445" s="16" t="s">
        <v>395</v>
      </c>
      <c r="F445" t="s">
        <v>19</v>
      </c>
      <c r="G445" t="s">
        <v>2253</v>
      </c>
    </row>
    <row r="446" spans="1:7" x14ac:dyDescent="0.25">
      <c r="A446" s="15">
        <v>12323</v>
      </c>
      <c r="B446" s="15"/>
      <c r="C446" s="31" t="s">
        <v>2140</v>
      </c>
      <c r="D446" s="16" t="s">
        <v>1849</v>
      </c>
      <c r="E446" s="16" t="s">
        <v>395</v>
      </c>
      <c r="F446" t="s">
        <v>19</v>
      </c>
      <c r="G446" t="s">
        <v>2253</v>
      </c>
    </row>
    <row r="447" spans="1:7" x14ac:dyDescent="0.25">
      <c r="A447" s="15">
        <v>12333</v>
      </c>
      <c r="B447" s="15"/>
      <c r="C447" s="31" t="s">
        <v>1801</v>
      </c>
      <c r="D447" s="16" t="s">
        <v>1849</v>
      </c>
      <c r="E447" s="16" t="s">
        <v>395</v>
      </c>
      <c r="F447" t="s">
        <v>19</v>
      </c>
      <c r="G447" t="s">
        <v>2253</v>
      </c>
    </row>
    <row r="448" spans="1:7" x14ac:dyDescent="0.25">
      <c r="A448" s="15">
        <v>12382</v>
      </c>
      <c r="B448" s="15"/>
      <c r="C448" s="31" t="s">
        <v>1759</v>
      </c>
      <c r="D448" s="16" t="s">
        <v>1849</v>
      </c>
      <c r="E448" s="16" t="s">
        <v>395</v>
      </c>
      <c r="F448" t="s">
        <v>19</v>
      </c>
      <c r="G448" t="s">
        <v>2253</v>
      </c>
    </row>
    <row r="449" spans="1:7" x14ac:dyDescent="0.25">
      <c r="A449" s="15">
        <v>12384</v>
      </c>
      <c r="B449" s="15"/>
      <c r="C449" s="31" t="s">
        <v>2245</v>
      </c>
      <c r="D449" s="16" t="s">
        <v>1849</v>
      </c>
      <c r="E449" s="16" t="s">
        <v>395</v>
      </c>
      <c r="F449" t="s">
        <v>19</v>
      </c>
      <c r="G449" t="s">
        <v>2253</v>
      </c>
    </row>
    <row r="450" spans="1:7" x14ac:dyDescent="0.25">
      <c r="A450" s="15">
        <v>11032</v>
      </c>
      <c r="B450" s="15"/>
      <c r="C450" s="31" t="s">
        <v>2461</v>
      </c>
      <c r="D450" s="16" t="s">
        <v>1908</v>
      </c>
      <c r="E450" s="16" t="s">
        <v>395</v>
      </c>
      <c r="F450" t="s">
        <v>19</v>
      </c>
      <c r="G450" t="s">
        <v>2253</v>
      </c>
    </row>
    <row r="451" spans="1:7" x14ac:dyDescent="0.25">
      <c r="A451" s="15">
        <v>11084</v>
      </c>
      <c r="B451" s="15"/>
      <c r="C451" s="31" t="s">
        <v>1839</v>
      </c>
      <c r="D451" s="16" t="s">
        <v>1908</v>
      </c>
      <c r="E451" s="16" t="s">
        <v>395</v>
      </c>
      <c r="F451" t="s">
        <v>19</v>
      </c>
      <c r="G451" t="s">
        <v>2253</v>
      </c>
    </row>
    <row r="452" spans="1:7" x14ac:dyDescent="0.25">
      <c r="A452" s="15">
        <v>11202</v>
      </c>
      <c r="B452" s="15"/>
      <c r="C452" s="31" t="s">
        <v>1964</v>
      </c>
      <c r="D452" s="16" t="s">
        <v>1908</v>
      </c>
      <c r="E452" s="16" t="s">
        <v>395</v>
      </c>
      <c r="F452" t="s">
        <v>19</v>
      </c>
      <c r="G452" t="s">
        <v>2253</v>
      </c>
    </row>
    <row r="453" spans="1:7" x14ac:dyDescent="0.25">
      <c r="A453" s="15">
        <v>11224</v>
      </c>
      <c r="B453" s="15"/>
      <c r="C453" s="31" t="s">
        <v>1963</v>
      </c>
      <c r="D453" s="16" t="s">
        <v>1908</v>
      </c>
      <c r="E453" s="16" t="s">
        <v>395</v>
      </c>
      <c r="F453" t="s">
        <v>19</v>
      </c>
      <c r="G453" t="s">
        <v>2253</v>
      </c>
    </row>
    <row r="454" spans="1:7" x14ac:dyDescent="0.25">
      <c r="A454" s="15">
        <v>11350</v>
      </c>
      <c r="B454" s="15"/>
      <c r="C454" s="31" t="s">
        <v>1962</v>
      </c>
      <c r="D454" s="16" t="s">
        <v>1908</v>
      </c>
      <c r="E454" s="16" t="s">
        <v>395</v>
      </c>
      <c r="F454" t="s">
        <v>19</v>
      </c>
      <c r="G454" t="s">
        <v>2253</v>
      </c>
    </row>
    <row r="455" spans="1:7" x14ac:dyDescent="0.25">
      <c r="A455" s="15">
        <v>11367</v>
      </c>
      <c r="B455" s="15"/>
      <c r="C455" s="31" t="s">
        <v>1921</v>
      </c>
      <c r="D455" s="16" t="s">
        <v>1908</v>
      </c>
      <c r="E455" s="16" t="s">
        <v>395</v>
      </c>
      <c r="F455" t="s">
        <v>19</v>
      </c>
      <c r="G455" t="s">
        <v>2253</v>
      </c>
    </row>
    <row r="456" spans="1:7" x14ac:dyDescent="0.25">
      <c r="A456" s="15">
        <v>11436</v>
      </c>
      <c r="B456" s="15"/>
      <c r="C456" s="31" t="s">
        <v>2125</v>
      </c>
      <c r="D456" s="16" t="s">
        <v>1908</v>
      </c>
      <c r="E456" s="16" t="s">
        <v>395</v>
      </c>
      <c r="F456" t="s">
        <v>19</v>
      </c>
      <c r="G456" t="s">
        <v>2253</v>
      </c>
    </row>
    <row r="457" spans="1:7" x14ac:dyDescent="0.25">
      <c r="A457" s="15">
        <v>11465</v>
      </c>
      <c r="B457" s="15"/>
      <c r="C457" s="31" t="s">
        <v>2139</v>
      </c>
      <c r="D457" s="16" t="s">
        <v>1908</v>
      </c>
      <c r="E457" s="16" t="s">
        <v>395</v>
      </c>
      <c r="F457" t="s">
        <v>19</v>
      </c>
      <c r="G457" t="s">
        <v>2253</v>
      </c>
    </row>
    <row r="458" spans="1:7" x14ac:dyDescent="0.25">
      <c r="A458" s="15">
        <v>11474</v>
      </c>
      <c r="B458" s="15"/>
      <c r="C458" s="31" t="s">
        <v>1805</v>
      </c>
      <c r="D458" s="16" t="s">
        <v>1908</v>
      </c>
      <c r="E458" s="16" t="s">
        <v>395</v>
      </c>
      <c r="F458" t="s">
        <v>19</v>
      </c>
      <c r="G458" t="s">
        <v>2253</v>
      </c>
    </row>
    <row r="459" spans="1:7" x14ac:dyDescent="0.25">
      <c r="A459" s="15">
        <v>11557</v>
      </c>
      <c r="B459" s="15"/>
      <c r="C459" s="31" t="s">
        <v>1929</v>
      </c>
      <c r="D459" s="16" t="s">
        <v>1908</v>
      </c>
      <c r="E459" s="16" t="s">
        <v>395</v>
      </c>
      <c r="F459" t="s">
        <v>19</v>
      </c>
      <c r="G459" t="s">
        <v>2253</v>
      </c>
    </row>
    <row r="460" spans="1:7" x14ac:dyDescent="0.25">
      <c r="A460" s="15">
        <v>12334</v>
      </c>
      <c r="B460" s="15"/>
      <c r="C460" s="31" t="s">
        <v>1843</v>
      </c>
      <c r="D460" s="16" t="s">
        <v>1908</v>
      </c>
      <c r="E460" s="16" t="s">
        <v>395</v>
      </c>
      <c r="F460" t="s">
        <v>19</v>
      </c>
      <c r="G460" t="s">
        <v>2253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J463"/>
  <sheetViews>
    <sheetView tabSelected="1" topLeftCell="A441" workbookViewId="0">
      <selection activeCell="E17" sqref="E17:E460"/>
    </sheetView>
  </sheetViews>
  <sheetFormatPr baseColWidth="10" defaultRowHeight="15" x14ac:dyDescent="0.25"/>
  <cols>
    <col min="1" max="1" width="25.28515625" bestFit="1" customWidth="1"/>
    <col min="2" max="2" width="25.28515625" customWidth="1"/>
    <col min="3" max="3" width="40.5703125" bestFit="1" customWidth="1"/>
    <col min="4" max="4" width="18.7109375" bestFit="1" customWidth="1"/>
    <col min="5" max="5" width="37.5703125" bestFit="1" customWidth="1"/>
    <col min="6" max="6" width="34.7109375" bestFit="1" customWidth="1"/>
    <col min="7" max="7" width="37.5703125" customWidth="1"/>
    <col min="8" max="8" width="34.5703125" bestFit="1" customWidth="1"/>
    <col min="9" max="9" width="34.5703125" customWidth="1"/>
    <col min="10" max="10" width="21.42578125" bestFit="1" customWidth="1"/>
  </cols>
  <sheetData>
    <row r="1" spans="1:10" x14ac:dyDescent="0.25">
      <c r="A1" t="s">
        <v>23</v>
      </c>
      <c r="B1" t="s">
        <v>2471</v>
      </c>
      <c r="C1" t="s">
        <v>24</v>
      </c>
      <c r="D1" t="s">
        <v>27</v>
      </c>
      <c r="E1" t="s">
        <v>2469</v>
      </c>
      <c r="F1" t="s">
        <v>35</v>
      </c>
      <c r="G1" t="s">
        <v>2164</v>
      </c>
      <c r="H1" t="s">
        <v>36</v>
      </c>
      <c r="I1" t="s">
        <v>2470</v>
      </c>
      <c r="J1" t="s">
        <v>37</v>
      </c>
    </row>
    <row r="2" spans="1:10" x14ac:dyDescent="0.25">
      <c r="A2">
        <v>11024</v>
      </c>
      <c r="B2">
        <f>VLOOKUP(A2,'Suc BD'!A:A,1,FALSE)</f>
        <v>11024</v>
      </c>
      <c r="C2" t="s">
        <v>282</v>
      </c>
      <c r="D2" t="s">
        <v>8</v>
      </c>
      <c r="E2" t="s">
        <v>2308</v>
      </c>
      <c r="F2" t="s">
        <v>275</v>
      </c>
      <c r="G2" t="s">
        <v>2169</v>
      </c>
      <c r="H2" t="s">
        <v>9</v>
      </c>
      <c r="I2" s="31" t="s">
        <v>2213</v>
      </c>
      <c r="J2" t="s">
        <v>2253</v>
      </c>
    </row>
    <row r="3" spans="1:10" x14ac:dyDescent="0.25">
      <c r="A3">
        <v>11071</v>
      </c>
      <c r="B3">
        <f>VLOOKUP(A3,'Suc BD'!A:A,1,FALSE)</f>
        <v>11071</v>
      </c>
      <c r="C3" t="s">
        <v>173</v>
      </c>
      <c r="D3" t="s">
        <v>8</v>
      </c>
      <c r="E3" t="s">
        <v>2278</v>
      </c>
      <c r="F3" t="s">
        <v>158</v>
      </c>
      <c r="G3" t="s">
        <v>2167</v>
      </c>
      <c r="H3" t="s">
        <v>9</v>
      </c>
      <c r="I3" s="31" t="s">
        <v>2213</v>
      </c>
      <c r="J3" t="s">
        <v>2253</v>
      </c>
    </row>
    <row r="4" spans="1:10" x14ac:dyDescent="0.25">
      <c r="A4">
        <v>11498</v>
      </c>
      <c r="B4">
        <f>VLOOKUP(A4,'Suc BD'!A:A,1,FALSE)</f>
        <v>11498</v>
      </c>
      <c r="C4" t="s">
        <v>1455</v>
      </c>
      <c r="D4" t="s">
        <v>16</v>
      </c>
      <c r="E4" t="s">
        <v>1456</v>
      </c>
      <c r="F4" t="s">
        <v>1431</v>
      </c>
      <c r="G4" t="s">
        <v>2200</v>
      </c>
      <c r="H4" t="s">
        <v>17</v>
      </c>
      <c r="I4" s="31" t="s">
        <v>2217</v>
      </c>
      <c r="J4" t="s">
        <v>2253</v>
      </c>
    </row>
    <row r="5" spans="1:10" x14ac:dyDescent="0.25">
      <c r="A5">
        <v>11007</v>
      </c>
      <c r="B5">
        <f>VLOOKUP(A5,'Suc BD'!A:A,1,FALSE)</f>
        <v>11007</v>
      </c>
      <c r="C5" t="s">
        <v>919</v>
      </c>
      <c r="D5" t="s">
        <v>12</v>
      </c>
      <c r="E5" t="s">
        <v>2069</v>
      </c>
      <c r="F5" t="s">
        <v>920</v>
      </c>
      <c r="G5" t="s">
        <v>2188</v>
      </c>
      <c r="H5" t="s">
        <v>13</v>
      </c>
      <c r="I5" s="31" t="s">
        <v>2215</v>
      </c>
      <c r="J5" t="s">
        <v>2253</v>
      </c>
    </row>
    <row r="6" spans="1:10" x14ac:dyDescent="0.25">
      <c r="A6">
        <v>11253</v>
      </c>
      <c r="B6">
        <f>VLOOKUP(A6,'Suc BD'!A:A,1,FALSE)</f>
        <v>11253</v>
      </c>
      <c r="C6" t="s">
        <v>957</v>
      </c>
      <c r="D6" t="s">
        <v>14</v>
      </c>
      <c r="E6" t="s">
        <v>958</v>
      </c>
      <c r="F6" t="s">
        <v>951</v>
      </c>
      <c r="G6" t="s">
        <v>2189</v>
      </c>
      <c r="H6" t="s">
        <v>15</v>
      </c>
      <c r="I6" s="31" t="s">
        <v>2216</v>
      </c>
      <c r="J6" t="s">
        <v>2253</v>
      </c>
    </row>
    <row r="7" spans="1:10" x14ac:dyDescent="0.25">
      <c r="A7">
        <v>11959</v>
      </c>
      <c r="B7">
        <f>VLOOKUP(A7,'Suc BD'!A:A,1,FALSE)</f>
        <v>11959</v>
      </c>
      <c r="C7" t="s">
        <v>994</v>
      </c>
      <c r="D7" t="s">
        <v>14</v>
      </c>
      <c r="E7" t="s">
        <v>995</v>
      </c>
      <c r="F7" t="s">
        <v>951</v>
      </c>
      <c r="G7" t="s">
        <v>2189</v>
      </c>
      <c r="H7" t="s">
        <v>15</v>
      </c>
      <c r="I7" s="31" t="s">
        <v>2216</v>
      </c>
      <c r="J7" t="s">
        <v>2253</v>
      </c>
    </row>
    <row r="8" spans="1:10" x14ac:dyDescent="0.25">
      <c r="A8">
        <v>11480</v>
      </c>
      <c r="B8">
        <f>VLOOKUP(A8,'Suc BD'!A:A,1,FALSE)</f>
        <v>11480</v>
      </c>
      <c r="C8" t="s">
        <v>230</v>
      </c>
      <c r="D8" t="s">
        <v>8</v>
      </c>
      <c r="E8" t="s">
        <v>2292</v>
      </c>
      <c r="F8" t="s">
        <v>196</v>
      </c>
      <c r="G8" t="s">
        <v>2168</v>
      </c>
      <c r="H8" t="s">
        <v>9</v>
      </c>
      <c r="I8" s="31" t="s">
        <v>2213</v>
      </c>
      <c r="J8" t="s">
        <v>2253</v>
      </c>
    </row>
    <row r="9" spans="1:10" x14ac:dyDescent="0.25">
      <c r="A9">
        <v>11089</v>
      </c>
      <c r="B9">
        <f>VLOOKUP(A9,'Suc BD'!A:A,1,FALSE)</f>
        <v>11089</v>
      </c>
      <c r="C9" t="s">
        <v>324</v>
      </c>
      <c r="D9" t="s">
        <v>8</v>
      </c>
      <c r="E9" t="s">
        <v>2320</v>
      </c>
      <c r="F9" t="s">
        <v>316</v>
      </c>
      <c r="G9" t="s">
        <v>2170</v>
      </c>
      <c r="H9" t="s">
        <v>9</v>
      </c>
      <c r="I9" s="31" t="s">
        <v>2213</v>
      </c>
      <c r="J9" t="s">
        <v>2253</v>
      </c>
    </row>
    <row r="10" spans="1:10" x14ac:dyDescent="0.25">
      <c r="A10">
        <v>11898</v>
      </c>
      <c r="B10">
        <f>VLOOKUP(A10,'Suc BD'!A:A,1,FALSE)</f>
        <v>11898</v>
      </c>
      <c r="C10" t="s">
        <v>1601</v>
      </c>
      <c r="D10" t="s">
        <v>16</v>
      </c>
      <c r="E10" t="s">
        <v>1602</v>
      </c>
      <c r="F10" t="s">
        <v>1568</v>
      </c>
      <c r="G10" t="s">
        <v>2203</v>
      </c>
      <c r="H10" t="s">
        <v>17</v>
      </c>
      <c r="I10" s="31" t="s">
        <v>2217</v>
      </c>
      <c r="J10" t="s">
        <v>2253</v>
      </c>
    </row>
    <row r="11" spans="1:10" x14ac:dyDescent="0.25">
      <c r="A11">
        <v>11460</v>
      </c>
      <c r="B11">
        <f>VLOOKUP(A11,'Suc BD'!A:A,1,FALSE)</f>
        <v>11460</v>
      </c>
      <c r="C11" t="s">
        <v>1215</v>
      </c>
      <c r="D11" t="s">
        <v>14</v>
      </c>
      <c r="E11" t="s">
        <v>1216</v>
      </c>
      <c r="F11" t="s">
        <v>1205</v>
      </c>
      <c r="G11" t="s">
        <v>2194</v>
      </c>
      <c r="H11" t="s">
        <v>15</v>
      </c>
      <c r="I11" s="31" t="s">
        <v>2216</v>
      </c>
      <c r="J11" t="s">
        <v>2253</v>
      </c>
    </row>
    <row r="12" spans="1:10" x14ac:dyDescent="0.25">
      <c r="A12">
        <v>11174</v>
      </c>
      <c r="B12">
        <f>VLOOKUP(A12,'Suc BD'!A:A,1,FALSE)</f>
        <v>11174</v>
      </c>
      <c r="C12" t="s">
        <v>406</v>
      </c>
      <c r="D12" t="s">
        <v>10</v>
      </c>
      <c r="E12" t="s">
        <v>2378</v>
      </c>
      <c r="F12" t="s">
        <v>618</v>
      </c>
      <c r="G12" t="s">
        <v>2176</v>
      </c>
      <c r="H12" t="s">
        <v>11</v>
      </c>
      <c r="I12" s="31" t="s">
        <v>2214</v>
      </c>
      <c r="J12" t="s">
        <v>2253</v>
      </c>
    </row>
    <row r="13" spans="1:10" x14ac:dyDescent="0.25">
      <c r="A13">
        <v>11293</v>
      </c>
      <c r="B13">
        <f>VLOOKUP(A13,'Suc BD'!A:A,1,FALSE)</f>
        <v>11293</v>
      </c>
      <c r="C13" t="s">
        <v>1080</v>
      </c>
      <c r="D13" t="s">
        <v>14</v>
      </c>
      <c r="E13" t="s">
        <v>1081</v>
      </c>
      <c r="F13" t="s">
        <v>1061</v>
      </c>
      <c r="G13" t="s">
        <v>2191</v>
      </c>
      <c r="H13" t="s">
        <v>15</v>
      </c>
      <c r="I13" s="31" t="s">
        <v>2216</v>
      </c>
      <c r="J13" t="s">
        <v>2253</v>
      </c>
    </row>
    <row r="14" spans="1:10" x14ac:dyDescent="0.25">
      <c r="A14">
        <v>11294</v>
      </c>
      <c r="B14">
        <f>VLOOKUP(A14,'Suc BD'!A:A,1,FALSE)</f>
        <v>11294</v>
      </c>
      <c r="C14" t="s">
        <v>1085</v>
      </c>
      <c r="D14" t="s">
        <v>14</v>
      </c>
      <c r="E14" t="s">
        <v>1086</v>
      </c>
      <c r="F14" t="s">
        <v>1061</v>
      </c>
      <c r="G14" t="s">
        <v>2191</v>
      </c>
      <c r="H14" t="s">
        <v>15</v>
      </c>
      <c r="I14" s="31" t="s">
        <v>2216</v>
      </c>
      <c r="J14" t="s">
        <v>2253</v>
      </c>
    </row>
    <row r="15" spans="1:10" x14ac:dyDescent="0.25">
      <c r="A15">
        <v>11318</v>
      </c>
      <c r="B15">
        <f>VLOOKUP(A15,'Suc BD'!A:A,1,FALSE)</f>
        <v>11318</v>
      </c>
      <c r="C15" t="s">
        <v>1335</v>
      </c>
      <c r="D15" t="s">
        <v>14</v>
      </c>
      <c r="E15" t="s">
        <v>1336</v>
      </c>
      <c r="F15" t="s">
        <v>1317</v>
      </c>
      <c r="G15" t="s">
        <v>2197</v>
      </c>
      <c r="H15" t="s">
        <v>15</v>
      </c>
      <c r="I15" s="31" t="s">
        <v>2216</v>
      </c>
      <c r="J15" t="s">
        <v>2253</v>
      </c>
    </row>
    <row r="16" spans="1:10" x14ac:dyDescent="0.25">
      <c r="A16">
        <v>12385</v>
      </c>
      <c r="B16" t="e">
        <f>VLOOKUP(A16,'Suc BD'!A:A,1,FALSE)</f>
        <v>#N/A</v>
      </c>
      <c r="C16" t="s">
        <v>2239</v>
      </c>
      <c r="D16" t="s">
        <v>14</v>
      </c>
      <c r="E16" t="s">
        <v>2242</v>
      </c>
      <c r="F16" t="s">
        <v>1238</v>
      </c>
      <c r="G16" t="s">
        <v>2195</v>
      </c>
      <c r="H16" t="s">
        <v>15</v>
      </c>
      <c r="I16" s="31" t="s">
        <v>2216</v>
      </c>
      <c r="J16" t="s">
        <v>2253</v>
      </c>
    </row>
    <row r="17" spans="1:10" x14ac:dyDescent="0.25">
      <c r="A17">
        <v>11605</v>
      </c>
      <c r="B17">
        <f>VLOOKUP(A17,'Suc BD'!A:A,1,FALSE)</f>
        <v>11605</v>
      </c>
      <c r="C17" t="s">
        <v>1026</v>
      </c>
      <c r="D17" t="s">
        <v>14</v>
      </c>
      <c r="E17" t="s">
        <v>1027</v>
      </c>
      <c r="F17" t="s">
        <v>1000</v>
      </c>
      <c r="G17" t="s">
        <v>2190</v>
      </c>
      <c r="H17" t="s">
        <v>15</v>
      </c>
      <c r="I17" s="31" t="s">
        <v>2216</v>
      </c>
      <c r="J17" t="s">
        <v>2253</v>
      </c>
    </row>
    <row r="18" spans="1:10" x14ac:dyDescent="0.25">
      <c r="A18">
        <v>11068</v>
      </c>
      <c r="B18">
        <f>VLOOKUP(A18,'Suc BD'!A:A,1,FALSE)</f>
        <v>11068</v>
      </c>
      <c r="C18" t="s">
        <v>170</v>
      </c>
      <c r="D18" t="s">
        <v>8</v>
      </c>
      <c r="E18" t="s">
        <v>2277</v>
      </c>
      <c r="F18" t="s">
        <v>158</v>
      </c>
      <c r="G18" t="s">
        <v>2167</v>
      </c>
      <c r="H18" t="s">
        <v>9</v>
      </c>
      <c r="I18" s="31" t="s">
        <v>2213</v>
      </c>
      <c r="J18" t="s">
        <v>2253</v>
      </c>
    </row>
    <row r="19" spans="1:10" x14ac:dyDescent="0.25">
      <c r="A19">
        <v>11091</v>
      </c>
      <c r="B19">
        <f>VLOOKUP(A19,'Suc BD'!A:A,1,FALSE)</f>
        <v>11091</v>
      </c>
      <c r="C19" t="s">
        <v>1071</v>
      </c>
      <c r="D19" t="s">
        <v>14</v>
      </c>
      <c r="E19" t="s">
        <v>2111</v>
      </c>
      <c r="F19" t="s">
        <v>1061</v>
      </c>
      <c r="G19" t="s">
        <v>2191</v>
      </c>
      <c r="H19" t="s">
        <v>15</v>
      </c>
      <c r="I19" s="31" t="s">
        <v>2216</v>
      </c>
      <c r="J19" t="s">
        <v>2253</v>
      </c>
    </row>
    <row r="20" spans="1:10" x14ac:dyDescent="0.25">
      <c r="A20">
        <v>11817</v>
      </c>
      <c r="B20">
        <f>VLOOKUP(A20,'Suc BD'!A:A,1,FALSE)</f>
        <v>11817</v>
      </c>
      <c r="C20" t="s">
        <v>1693</v>
      </c>
      <c r="D20" t="s">
        <v>16</v>
      </c>
      <c r="E20" t="s">
        <v>1694</v>
      </c>
      <c r="F20" t="s">
        <v>1658</v>
      </c>
      <c r="G20" t="s">
        <v>2205</v>
      </c>
      <c r="H20" t="s">
        <v>17</v>
      </c>
      <c r="I20" s="31" t="s">
        <v>2217</v>
      </c>
      <c r="J20" t="s">
        <v>2253</v>
      </c>
    </row>
    <row r="21" spans="1:10" x14ac:dyDescent="0.25">
      <c r="A21">
        <v>11261</v>
      </c>
      <c r="B21">
        <f>VLOOKUP(A21,'Suc BD'!A:A,1,FALSE)</f>
        <v>11261</v>
      </c>
      <c r="C21" t="s">
        <v>1441</v>
      </c>
      <c r="D21" t="s">
        <v>16</v>
      </c>
      <c r="E21" t="s">
        <v>1442</v>
      </c>
      <c r="F21" t="s">
        <v>1431</v>
      </c>
      <c r="G21" t="s">
        <v>2200</v>
      </c>
      <c r="H21" t="s">
        <v>17</v>
      </c>
      <c r="I21" s="31" t="s">
        <v>2217</v>
      </c>
      <c r="J21" t="s">
        <v>2253</v>
      </c>
    </row>
    <row r="22" spans="1:10" x14ac:dyDescent="0.25">
      <c r="A22">
        <v>11022</v>
      </c>
      <c r="B22">
        <f>VLOOKUP(A22,'Suc BD'!A:A,1,FALSE)</f>
        <v>11022</v>
      </c>
      <c r="C22" t="s">
        <v>2001</v>
      </c>
      <c r="D22" t="s">
        <v>10</v>
      </c>
      <c r="E22" t="s">
        <v>2397</v>
      </c>
      <c r="F22" t="s">
        <v>646</v>
      </c>
      <c r="G22" t="s">
        <v>2178</v>
      </c>
      <c r="H22" t="s">
        <v>11</v>
      </c>
      <c r="I22" s="31" t="s">
        <v>2214</v>
      </c>
      <c r="J22" t="s">
        <v>2253</v>
      </c>
    </row>
    <row r="23" spans="1:10" x14ac:dyDescent="0.25">
      <c r="A23">
        <v>11209</v>
      </c>
      <c r="B23">
        <f>VLOOKUP(A23,'Suc BD'!A:A,1,FALSE)</f>
        <v>11209</v>
      </c>
      <c r="C23" t="s">
        <v>161</v>
      </c>
      <c r="D23" t="s">
        <v>8</v>
      </c>
      <c r="E23" t="s">
        <v>2280</v>
      </c>
      <c r="F23" t="s">
        <v>158</v>
      </c>
      <c r="G23" t="s">
        <v>2167</v>
      </c>
      <c r="H23" t="s">
        <v>9</v>
      </c>
      <c r="I23" s="31" t="s">
        <v>2213</v>
      </c>
      <c r="J23" t="s">
        <v>2253</v>
      </c>
    </row>
    <row r="24" spans="1:10" x14ac:dyDescent="0.25">
      <c r="A24">
        <v>11835</v>
      </c>
      <c r="B24">
        <f>VLOOKUP(A24,'Suc BD'!A:A,1,FALSE)</f>
        <v>11835</v>
      </c>
      <c r="C24" t="s">
        <v>92</v>
      </c>
      <c r="D24" t="s">
        <v>8</v>
      </c>
      <c r="E24" t="s">
        <v>2261</v>
      </c>
      <c r="F24" t="s">
        <v>52</v>
      </c>
      <c r="G24" t="s">
        <v>2165</v>
      </c>
      <c r="H24" t="s">
        <v>9</v>
      </c>
      <c r="I24" s="31" t="s">
        <v>2213</v>
      </c>
      <c r="J24" t="s">
        <v>2253</v>
      </c>
    </row>
    <row r="25" spans="1:10" x14ac:dyDescent="0.25">
      <c r="A25">
        <v>11856</v>
      </c>
      <c r="B25">
        <f>VLOOKUP(A25,'Suc BD'!A:A,1,FALSE)</f>
        <v>11856</v>
      </c>
      <c r="C25" t="s">
        <v>1697</v>
      </c>
      <c r="D25" t="s">
        <v>16</v>
      </c>
      <c r="E25" t="s">
        <v>1698</v>
      </c>
      <c r="F25" t="s">
        <v>1658</v>
      </c>
      <c r="G25" t="s">
        <v>2205</v>
      </c>
      <c r="H25" t="s">
        <v>17</v>
      </c>
      <c r="I25" s="31" t="s">
        <v>2217</v>
      </c>
      <c r="J25" t="s">
        <v>2253</v>
      </c>
    </row>
    <row r="26" spans="1:10" x14ac:dyDescent="0.25">
      <c r="A26">
        <v>11131</v>
      </c>
      <c r="B26">
        <f>VLOOKUP(A26,'Suc BD'!A:A,1,FALSE)</f>
        <v>11131</v>
      </c>
      <c r="C26" t="s">
        <v>923</v>
      </c>
      <c r="D26" t="s">
        <v>12</v>
      </c>
      <c r="E26" t="s">
        <v>2458</v>
      </c>
      <c r="F26" t="s">
        <v>920</v>
      </c>
      <c r="G26" t="s">
        <v>2188</v>
      </c>
      <c r="H26" t="s">
        <v>13</v>
      </c>
      <c r="I26" s="31" t="s">
        <v>2215</v>
      </c>
      <c r="J26" t="s">
        <v>2253</v>
      </c>
    </row>
    <row r="27" spans="1:10" x14ac:dyDescent="0.25">
      <c r="A27">
        <v>11247</v>
      </c>
      <c r="B27">
        <f>VLOOKUP(A27,'Suc BD'!A:A,1,FALSE)</f>
        <v>11247</v>
      </c>
      <c r="C27" t="s">
        <v>1758</v>
      </c>
      <c r="D27" t="s">
        <v>18</v>
      </c>
      <c r="E27" t="s">
        <v>2141</v>
      </c>
      <c r="F27" t="s">
        <v>1849</v>
      </c>
      <c r="G27" t="s">
        <v>2208</v>
      </c>
      <c r="H27" t="s">
        <v>395</v>
      </c>
      <c r="I27" s="31" t="s">
        <v>99</v>
      </c>
      <c r="J27" t="s">
        <v>2253</v>
      </c>
    </row>
    <row r="28" spans="1:10" x14ac:dyDescent="0.25">
      <c r="A28">
        <v>11370</v>
      </c>
      <c r="B28">
        <f>VLOOKUP(A28,'Suc BD'!A:A,1,FALSE)</f>
        <v>11370</v>
      </c>
      <c r="C28" t="s">
        <v>1402</v>
      </c>
      <c r="D28" t="s">
        <v>16</v>
      </c>
      <c r="E28" t="s">
        <v>1958</v>
      </c>
      <c r="F28" t="s">
        <v>1388</v>
      </c>
      <c r="G28" t="s">
        <v>2199</v>
      </c>
      <c r="H28" t="s">
        <v>17</v>
      </c>
      <c r="I28" s="31" t="s">
        <v>2217</v>
      </c>
      <c r="J28" t="s">
        <v>2253</v>
      </c>
    </row>
    <row r="29" spans="1:10" x14ac:dyDescent="0.25">
      <c r="A29">
        <v>11153</v>
      </c>
      <c r="B29">
        <f>VLOOKUP(A29,'Suc BD'!A:A,1,FALSE)</f>
        <v>11153</v>
      </c>
      <c r="C29" t="s">
        <v>273</v>
      </c>
      <c r="D29" t="s">
        <v>8</v>
      </c>
      <c r="E29" t="s">
        <v>2310</v>
      </c>
      <c r="F29" t="s">
        <v>275</v>
      </c>
      <c r="G29" t="s">
        <v>2169</v>
      </c>
      <c r="H29" t="s">
        <v>9</v>
      </c>
      <c r="I29" s="31" t="s">
        <v>2213</v>
      </c>
      <c r="J29" t="s">
        <v>2253</v>
      </c>
    </row>
    <row r="30" spans="1:10" x14ac:dyDescent="0.25">
      <c r="A30">
        <v>12324</v>
      </c>
      <c r="B30">
        <f>VLOOKUP(A30,'Suc BD'!A:A,1,FALSE)</f>
        <v>12324</v>
      </c>
      <c r="C30" t="s">
        <v>854</v>
      </c>
      <c r="D30" t="s">
        <v>12</v>
      </c>
      <c r="E30" t="s">
        <v>2059</v>
      </c>
      <c r="F30" t="s">
        <v>820</v>
      </c>
      <c r="G30" t="s">
        <v>2185</v>
      </c>
      <c r="H30" t="s">
        <v>13</v>
      </c>
      <c r="I30" s="31" t="s">
        <v>2215</v>
      </c>
      <c r="J30" t="s">
        <v>2253</v>
      </c>
    </row>
    <row r="31" spans="1:10" x14ac:dyDescent="0.25">
      <c r="A31">
        <v>11618</v>
      </c>
      <c r="B31">
        <f>VLOOKUP(A31,'Suc BD'!A:A,1,FALSE)</f>
        <v>11618</v>
      </c>
      <c r="C31" t="s">
        <v>1933</v>
      </c>
      <c r="D31" t="s">
        <v>18</v>
      </c>
      <c r="E31" t="s">
        <v>1907</v>
      </c>
      <c r="F31" t="s">
        <v>1806</v>
      </c>
      <c r="G31" t="s">
        <v>2207</v>
      </c>
      <c r="H31" t="s">
        <v>395</v>
      </c>
      <c r="I31" s="31" t="s">
        <v>99</v>
      </c>
      <c r="J31" t="s">
        <v>2253</v>
      </c>
    </row>
    <row r="32" spans="1:10" x14ac:dyDescent="0.25">
      <c r="A32">
        <v>11009</v>
      </c>
      <c r="B32">
        <f>VLOOKUP(A32,'Suc BD'!A:A,1,FALSE)</f>
        <v>11009</v>
      </c>
      <c r="C32" t="s">
        <v>2008</v>
      </c>
      <c r="D32" t="s">
        <v>10</v>
      </c>
      <c r="E32" t="s">
        <v>2405</v>
      </c>
      <c r="F32" t="s">
        <v>529</v>
      </c>
      <c r="G32" t="s">
        <v>2179</v>
      </c>
      <c r="H32" t="s">
        <v>11</v>
      </c>
      <c r="I32" s="31" t="s">
        <v>2214</v>
      </c>
      <c r="J32" t="s">
        <v>2253</v>
      </c>
    </row>
    <row r="33" spans="1:10" x14ac:dyDescent="0.25">
      <c r="A33">
        <v>11198</v>
      </c>
      <c r="B33">
        <f>VLOOKUP(A33,'Suc BD'!A:A,1,FALSE)</f>
        <v>11198</v>
      </c>
      <c r="C33" t="s">
        <v>685</v>
      </c>
      <c r="D33" t="s">
        <v>10</v>
      </c>
      <c r="E33" t="s">
        <v>2416</v>
      </c>
      <c r="F33" t="s">
        <v>675</v>
      </c>
      <c r="G33" t="s">
        <v>2180</v>
      </c>
      <c r="H33" t="s">
        <v>11</v>
      </c>
      <c r="I33" s="31" t="s">
        <v>2214</v>
      </c>
      <c r="J33" t="s">
        <v>2253</v>
      </c>
    </row>
    <row r="34" spans="1:10" x14ac:dyDescent="0.25">
      <c r="A34">
        <v>12340</v>
      </c>
      <c r="B34">
        <f>VLOOKUP(A34,'Suc BD'!A:A,1,FALSE)</f>
        <v>12340</v>
      </c>
      <c r="C34" t="s">
        <v>310</v>
      </c>
      <c r="D34" t="s">
        <v>8</v>
      </c>
      <c r="E34" t="s">
        <v>2315</v>
      </c>
      <c r="F34" t="s">
        <v>275</v>
      </c>
      <c r="G34" t="s">
        <v>2169</v>
      </c>
      <c r="H34" t="s">
        <v>9</v>
      </c>
      <c r="I34" s="31" t="s">
        <v>2213</v>
      </c>
      <c r="J34" t="s">
        <v>2253</v>
      </c>
    </row>
    <row r="35" spans="1:10" x14ac:dyDescent="0.25">
      <c r="A35">
        <v>11566</v>
      </c>
      <c r="B35">
        <f>VLOOKUP(A35,'Suc BD'!A:A,1,FALSE)</f>
        <v>11566</v>
      </c>
      <c r="C35" t="s">
        <v>144</v>
      </c>
      <c r="D35" t="s">
        <v>8</v>
      </c>
      <c r="E35" t="s">
        <v>2271</v>
      </c>
      <c r="F35" t="s">
        <v>111</v>
      </c>
      <c r="G35" t="s">
        <v>2166</v>
      </c>
      <c r="H35" t="s">
        <v>9</v>
      </c>
      <c r="I35" s="31" t="s">
        <v>2213</v>
      </c>
      <c r="J35" t="s">
        <v>2253</v>
      </c>
    </row>
    <row r="36" spans="1:10" x14ac:dyDescent="0.25">
      <c r="A36">
        <v>11411</v>
      </c>
      <c r="B36">
        <f>VLOOKUP(A36,'Suc BD'!A:A,1,FALSE)</f>
        <v>11411</v>
      </c>
      <c r="C36" t="s">
        <v>1680</v>
      </c>
      <c r="D36" t="s">
        <v>16</v>
      </c>
      <c r="E36" t="s">
        <v>1681</v>
      </c>
      <c r="F36" t="s">
        <v>1658</v>
      </c>
      <c r="G36" t="s">
        <v>2205</v>
      </c>
      <c r="H36" t="s">
        <v>17</v>
      </c>
      <c r="I36" s="31" t="s">
        <v>2217</v>
      </c>
      <c r="J36" t="s">
        <v>2253</v>
      </c>
    </row>
    <row r="37" spans="1:10" x14ac:dyDescent="0.25">
      <c r="A37">
        <v>11798</v>
      </c>
      <c r="B37">
        <f>VLOOKUP(A37,'Suc BD'!A:A,1,FALSE)</f>
        <v>11798</v>
      </c>
      <c r="C37" t="s">
        <v>1471</v>
      </c>
      <c r="D37" t="s">
        <v>16</v>
      </c>
      <c r="E37" t="s">
        <v>2118</v>
      </c>
      <c r="F37" t="s">
        <v>1431</v>
      </c>
      <c r="G37" t="s">
        <v>2200</v>
      </c>
      <c r="H37" t="s">
        <v>17</v>
      </c>
      <c r="I37" s="31" t="s">
        <v>2217</v>
      </c>
      <c r="J37" t="s">
        <v>2253</v>
      </c>
    </row>
    <row r="38" spans="1:10" x14ac:dyDescent="0.25">
      <c r="A38">
        <v>11470</v>
      </c>
      <c r="B38">
        <f>VLOOKUP(A38,'Suc BD'!A:A,1,FALSE)</f>
        <v>11470</v>
      </c>
      <c r="C38" t="s">
        <v>2013</v>
      </c>
      <c r="D38" t="s">
        <v>10</v>
      </c>
      <c r="E38" t="s">
        <v>2412</v>
      </c>
      <c r="F38" t="s">
        <v>529</v>
      </c>
      <c r="G38" t="s">
        <v>2179</v>
      </c>
      <c r="H38" t="s">
        <v>11</v>
      </c>
      <c r="I38" s="31" t="s">
        <v>2214</v>
      </c>
      <c r="J38" t="s">
        <v>2253</v>
      </c>
    </row>
    <row r="39" spans="1:10" x14ac:dyDescent="0.25">
      <c r="A39">
        <v>11212</v>
      </c>
      <c r="B39">
        <f>VLOOKUP(A39,'Suc BD'!A:A,1,FALSE)</f>
        <v>11212</v>
      </c>
      <c r="C39" t="s">
        <v>1856</v>
      </c>
      <c r="D39" t="s">
        <v>18</v>
      </c>
      <c r="E39" t="s">
        <v>1857</v>
      </c>
      <c r="F39" t="s">
        <v>1867</v>
      </c>
      <c r="G39" t="s">
        <v>2463</v>
      </c>
      <c r="H39" t="s">
        <v>395</v>
      </c>
      <c r="I39" s="31" t="s">
        <v>99</v>
      </c>
      <c r="J39" t="s">
        <v>2253</v>
      </c>
    </row>
    <row r="40" spans="1:10" x14ac:dyDescent="0.25">
      <c r="A40">
        <v>11564</v>
      </c>
      <c r="B40">
        <f>VLOOKUP(A40,'Suc BD'!A:A,1,FALSE)</f>
        <v>11564</v>
      </c>
      <c r="C40" t="s">
        <v>297</v>
      </c>
      <c r="D40" t="s">
        <v>8</v>
      </c>
      <c r="E40" t="s">
        <v>2312</v>
      </c>
      <c r="F40" t="s">
        <v>275</v>
      </c>
      <c r="G40" t="s">
        <v>2169</v>
      </c>
      <c r="H40" t="s">
        <v>9</v>
      </c>
      <c r="I40" s="31" t="s">
        <v>2213</v>
      </c>
      <c r="J40" t="s">
        <v>2253</v>
      </c>
    </row>
    <row r="41" spans="1:10" x14ac:dyDescent="0.25">
      <c r="A41">
        <v>11913</v>
      </c>
      <c r="B41">
        <f>VLOOKUP(A41,'Suc BD'!A:A,1,FALSE)</f>
        <v>11913</v>
      </c>
      <c r="C41" t="s">
        <v>1998</v>
      </c>
      <c r="D41" t="s">
        <v>10</v>
      </c>
      <c r="E41" t="s">
        <v>2393</v>
      </c>
      <c r="F41" t="s">
        <v>588</v>
      </c>
      <c r="G41" t="s">
        <v>2177</v>
      </c>
      <c r="H41" t="s">
        <v>11</v>
      </c>
      <c r="I41" s="31" t="s">
        <v>2214</v>
      </c>
      <c r="J41" t="s">
        <v>2253</v>
      </c>
    </row>
    <row r="42" spans="1:10" x14ac:dyDescent="0.25">
      <c r="A42">
        <v>11003</v>
      </c>
      <c r="B42">
        <f>VLOOKUP(A42,'Suc BD'!A:A,1,FALSE)</f>
        <v>11003</v>
      </c>
      <c r="C42" t="s">
        <v>163</v>
      </c>
      <c r="D42" t="s">
        <v>8</v>
      </c>
      <c r="E42" t="s">
        <v>2275</v>
      </c>
      <c r="F42" t="s">
        <v>158</v>
      </c>
      <c r="G42" t="s">
        <v>2167</v>
      </c>
      <c r="H42" t="s">
        <v>9</v>
      </c>
      <c r="I42" s="31" t="s">
        <v>2213</v>
      </c>
      <c r="J42" t="s">
        <v>2253</v>
      </c>
    </row>
    <row r="43" spans="1:10" x14ac:dyDescent="0.25">
      <c r="A43">
        <v>11066</v>
      </c>
      <c r="B43">
        <f>VLOOKUP(A43,'Suc BD'!A:A,1,FALSE)</f>
        <v>11066</v>
      </c>
      <c r="C43" t="s">
        <v>2002</v>
      </c>
      <c r="D43" t="s">
        <v>10</v>
      </c>
      <c r="E43" t="s">
        <v>2398</v>
      </c>
      <c r="F43" t="s">
        <v>646</v>
      </c>
      <c r="G43" t="s">
        <v>2178</v>
      </c>
      <c r="H43" t="s">
        <v>11</v>
      </c>
      <c r="I43" s="31" t="s">
        <v>2214</v>
      </c>
      <c r="J43" t="s">
        <v>2253</v>
      </c>
    </row>
    <row r="44" spans="1:10" x14ac:dyDescent="0.25">
      <c r="A44">
        <v>11434</v>
      </c>
      <c r="B44">
        <f>VLOOKUP(A44,'Suc BD'!A:A,1,FALSE)</f>
        <v>11434</v>
      </c>
      <c r="C44" t="s">
        <v>1413</v>
      </c>
      <c r="D44" t="s">
        <v>16</v>
      </c>
      <c r="E44" t="s">
        <v>1414</v>
      </c>
      <c r="F44" t="s">
        <v>1388</v>
      </c>
      <c r="G44" t="s">
        <v>2199</v>
      </c>
      <c r="H44" t="s">
        <v>17</v>
      </c>
      <c r="I44" s="31" t="s">
        <v>2217</v>
      </c>
      <c r="J44" t="s">
        <v>2253</v>
      </c>
    </row>
    <row r="45" spans="1:10" x14ac:dyDescent="0.25">
      <c r="A45">
        <v>11590</v>
      </c>
      <c r="B45">
        <f>VLOOKUP(A45,'Suc BD'!A:A,1,FALSE)</f>
        <v>11590</v>
      </c>
      <c r="C45" t="s">
        <v>1225</v>
      </c>
      <c r="D45" t="s">
        <v>14</v>
      </c>
      <c r="E45" t="s">
        <v>1226</v>
      </c>
      <c r="F45" t="s">
        <v>1205</v>
      </c>
      <c r="G45" t="s">
        <v>2194</v>
      </c>
      <c r="H45" t="s">
        <v>15</v>
      </c>
      <c r="I45" s="31" t="s">
        <v>2216</v>
      </c>
      <c r="J45" t="s">
        <v>2253</v>
      </c>
    </row>
    <row r="46" spans="1:10" x14ac:dyDescent="0.25">
      <c r="A46">
        <v>11244</v>
      </c>
      <c r="B46">
        <f>VLOOKUP(A46,'Suc BD'!A:A,1,FALSE)</f>
        <v>11244</v>
      </c>
      <c r="C46" t="s">
        <v>1138</v>
      </c>
      <c r="D46" t="s">
        <v>14</v>
      </c>
      <c r="E46" t="s">
        <v>1139</v>
      </c>
      <c r="F46" t="s">
        <v>1118</v>
      </c>
      <c r="G46" t="s">
        <v>2192</v>
      </c>
      <c r="H46" t="s">
        <v>15</v>
      </c>
      <c r="I46" s="31" t="s">
        <v>2216</v>
      </c>
      <c r="J46" t="s">
        <v>2253</v>
      </c>
    </row>
    <row r="47" spans="1:10" x14ac:dyDescent="0.25">
      <c r="A47">
        <v>11233</v>
      </c>
      <c r="B47">
        <f>VLOOKUP(A47,'Suc BD'!A:A,1,FALSE)</f>
        <v>11233</v>
      </c>
      <c r="C47" t="s">
        <v>2004</v>
      </c>
      <c r="D47" t="s">
        <v>10</v>
      </c>
      <c r="E47" t="s">
        <v>2401</v>
      </c>
      <c r="F47" t="s">
        <v>646</v>
      </c>
      <c r="G47" t="s">
        <v>2178</v>
      </c>
      <c r="H47" t="s">
        <v>11</v>
      </c>
      <c r="I47" s="31" t="s">
        <v>2214</v>
      </c>
      <c r="J47" t="s">
        <v>2253</v>
      </c>
    </row>
    <row r="48" spans="1:10" x14ac:dyDescent="0.25">
      <c r="A48">
        <v>11126</v>
      </c>
      <c r="B48">
        <f>VLOOKUP(A48,'Suc BD'!A:A,1,FALSE)</f>
        <v>11126</v>
      </c>
      <c r="C48" t="s">
        <v>633</v>
      </c>
      <c r="D48" t="s">
        <v>10</v>
      </c>
      <c r="E48" t="s">
        <v>2400</v>
      </c>
      <c r="F48" t="s">
        <v>646</v>
      </c>
      <c r="G48" t="s">
        <v>2178</v>
      </c>
      <c r="H48" t="s">
        <v>11</v>
      </c>
      <c r="I48" s="31" t="s">
        <v>2214</v>
      </c>
      <c r="J48" t="s">
        <v>2253</v>
      </c>
    </row>
    <row r="49" spans="1:10" x14ac:dyDescent="0.25">
      <c r="A49">
        <v>11603</v>
      </c>
      <c r="B49">
        <f>VLOOKUP(A49,'Suc BD'!A:A,1,FALSE)</f>
        <v>11603</v>
      </c>
      <c r="C49" t="s">
        <v>1880</v>
      </c>
      <c r="D49" t="s">
        <v>18</v>
      </c>
      <c r="E49" t="s">
        <v>1881</v>
      </c>
      <c r="F49" t="s">
        <v>1806</v>
      </c>
      <c r="G49" t="s">
        <v>2207</v>
      </c>
      <c r="H49" t="s">
        <v>395</v>
      </c>
      <c r="I49" s="31" t="s">
        <v>99</v>
      </c>
      <c r="J49" t="s">
        <v>2253</v>
      </c>
    </row>
    <row r="50" spans="1:10" x14ac:dyDescent="0.25">
      <c r="A50">
        <v>11323</v>
      </c>
      <c r="B50">
        <f>VLOOKUP(A50,'Suc BD'!A:A,1,FALSE)</f>
        <v>11323</v>
      </c>
      <c r="C50" t="s">
        <v>1395</v>
      </c>
      <c r="D50" t="s">
        <v>16</v>
      </c>
      <c r="E50" t="s">
        <v>1396</v>
      </c>
      <c r="F50" t="s">
        <v>1388</v>
      </c>
      <c r="G50" t="s">
        <v>2199</v>
      </c>
      <c r="H50" t="s">
        <v>17</v>
      </c>
      <c r="I50" s="31" t="s">
        <v>2217</v>
      </c>
      <c r="J50" t="s">
        <v>2253</v>
      </c>
    </row>
    <row r="51" spans="1:10" x14ac:dyDescent="0.25">
      <c r="A51">
        <v>11040</v>
      </c>
      <c r="B51">
        <f>VLOOKUP(A51,'Suc BD'!A:A,1,FALSE)</f>
        <v>11040</v>
      </c>
      <c r="C51" t="s">
        <v>1566</v>
      </c>
      <c r="D51" t="s">
        <v>16</v>
      </c>
      <c r="E51" t="s">
        <v>1567</v>
      </c>
      <c r="F51" t="s">
        <v>1568</v>
      </c>
      <c r="G51" t="s">
        <v>2203</v>
      </c>
      <c r="H51" t="s">
        <v>17</v>
      </c>
      <c r="I51" s="31" t="s">
        <v>2217</v>
      </c>
      <c r="J51" t="s">
        <v>2253</v>
      </c>
    </row>
    <row r="52" spans="1:10" x14ac:dyDescent="0.25">
      <c r="A52">
        <v>11367</v>
      </c>
      <c r="B52">
        <f>VLOOKUP(A52,'Suc BD'!A:A,1,FALSE)</f>
        <v>11367</v>
      </c>
      <c r="C52" t="s">
        <v>1920</v>
      </c>
      <c r="D52" t="s">
        <v>18</v>
      </c>
      <c r="E52" t="s">
        <v>1921</v>
      </c>
      <c r="F52" t="s">
        <v>1908</v>
      </c>
      <c r="G52" t="s">
        <v>2209</v>
      </c>
      <c r="H52" t="s">
        <v>395</v>
      </c>
      <c r="I52" s="31" t="s">
        <v>99</v>
      </c>
      <c r="J52" t="s">
        <v>2253</v>
      </c>
    </row>
    <row r="53" spans="1:10" x14ac:dyDescent="0.25">
      <c r="A53">
        <v>11215</v>
      </c>
      <c r="B53">
        <f>VLOOKUP(A53,'Suc BD'!A:A,1,FALSE)</f>
        <v>11215</v>
      </c>
      <c r="C53" t="s">
        <v>123</v>
      </c>
      <c r="D53" t="s">
        <v>8</v>
      </c>
      <c r="E53" t="s">
        <v>2266</v>
      </c>
      <c r="F53" t="s">
        <v>111</v>
      </c>
      <c r="G53" t="s">
        <v>2166</v>
      </c>
      <c r="H53" t="s">
        <v>9</v>
      </c>
      <c r="I53" s="31" t="s">
        <v>2213</v>
      </c>
      <c r="J53" t="s">
        <v>2253</v>
      </c>
    </row>
    <row r="54" spans="1:10" x14ac:dyDescent="0.25">
      <c r="A54">
        <v>11721</v>
      </c>
      <c r="B54">
        <f>VLOOKUP(A54,'Suc BD'!A:A,1,FALSE)</f>
        <v>11721</v>
      </c>
      <c r="C54" t="s">
        <v>47</v>
      </c>
      <c r="D54" t="s">
        <v>8</v>
      </c>
      <c r="E54" t="s">
        <v>2255</v>
      </c>
      <c r="F54" t="s">
        <v>52</v>
      </c>
      <c r="G54" t="s">
        <v>2165</v>
      </c>
      <c r="H54" t="s">
        <v>9</v>
      </c>
      <c r="I54" s="31" t="s">
        <v>2213</v>
      </c>
      <c r="J54" t="s">
        <v>2253</v>
      </c>
    </row>
    <row r="55" spans="1:10" x14ac:dyDescent="0.25">
      <c r="A55">
        <v>11173</v>
      </c>
      <c r="B55">
        <f>VLOOKUP(A55,'Suc BD'!A:A,1,FALSE)</f>
        <v>11173</v>
      </c>
      <c r="C55" t="s">
        <v>408</v>
      </c>
      <c r="D55" t="s">
        <v>8</v>
      </c>
      <c r="E55" t="s">
        <v>2298</v>
      </c>
      <c r="F55" t="s">
        <v>242</v>
      </c>
      <c r="G55" t="s">
        <v>2172</v>
      </c>
      <c r="H55" t="s">
        <v>9</v>
      </c>
      <c r="I55" s="31" t="s">
        <v>2213</v>
      </c>
      <c r="J55" t="s">
        <v>2253</v>
      </c>
    </row>
    <row r="56" spans="1:10" x14ac:dyDescent="0.25">
      <c r="A56">
        <v>11030</v>
      </c>
      <c r="B56">
        <f>VLOOKUP(A56,'Suc BD'!A:A,1,FALSE)</f>
        <v>11030</v>
      </c>
      <c r="C56" t="s">
        <v>1386</v>
      </c>
      <c r="D56" t="s">
        <v>16</v>
      </c>
      <c r="E56" t="s">
        <v>1387</v>
      </c>
      <c r="F56" t="s">
        <v>1388</v>
      </c>
      <c r="G56" t="s">
        <v>2199</v>
      </c>
      <c r="H56" t="s">
        <v>17</v>
      </c>
      <c r="I56" s="31" t="s">
        <v>2217</v>
      </c>
      <c r="J56" t="s">
        <v>2253</v>
      </c>
    </row>
    <row r="57" spans="1:10" x14ac:dyDescent="0.25">
      <c r="A57">
        <v>11193</v>
      </c>
      <c r="B57">
        <f>VLOOKUP(A57,'Suc BD'!A:A,1,FALSE)</f>
        <v>11193</v>
      </c>
      <c r="C57" t="s">
        <v>370</v>
      </c>
      <c r="D57" t="s">
        <v>8</v>
      </c>
      <c r="E57" t="s">
        <v>2338</v>
      </c>
      <c r="F57" t="s">
        <v>361</v>
      </c>
      <c r="G57" t="s">
        <v>2171</v>
      </c>
      <c r="H57" t="s">
        <v>9</v>
      </c>
      <c r="I57" s="31" t="s">
        <v>2213</v>
      </c>
      <c r="J57" t="s">
        <v>2253</v>
      </c>
    </row>
    <row r="58" spans="1:10" x14ac:dyDescent="0.25">
      <c r="A58">
        <v>11190</v>
      </c>
      <c r="B58">
        <f>VLOOKUP(A58,'Suc BD'!A:A,1,FALSE)</f>
        <v>11190</v>
      </c>
      <c r="C58" t="s">
        <v>452</v>
      </c>
      <c r="D58" t="s">
        <v>8</v>
      </c>
      <c r="E58" t="s">
        <v>2347</v>
      </c>
      <c r="F58" t="s">
        <v>440</v>
      </c>
      <c r="G58" t="s">
        <v>2173</v>
      </c>
      <c r="H58" t="s">
        <v>9</v>
      </c>
      <c r="I58" s="31" t="s">
        <v>2213</v>
      </c>
      <c r="J58" t="s">
        <v>2253</v>
      </c>
    </row>
    <row r="59" spans="1:10" x14ac:dyDescent="0.25">
      <c r="A59">
        <v>11213</v>
      </c>
      <c r="B59">
        <f>VLOOKUP(A59,'Suc BD'!A:A,1,FALSE)</f>
        <v>11213</v>
      </c>
      <c r="C59" t="s">
        <v>863</v>
      </c>
      <c r="D59" t="s">
        <v>12</v>
      </c>
      <c r="E59" t="s">
        <v>2060</v>
      </c>
      <c r="F59" t="s">
        <v>859</v>
      </c>
      <c r="G59" t="s">
        <v>2186</v>
      </c>
      <c r="H59" t="s">
        <v>13</v>
      </c>
      <c r="I59" s="31" t="s">
        <v>2215</v>
      </c>
      <c r="J59" t="s">
        <v>2253</v>
      </c>
    </row>
    <row r="60" spans="1:10" x14ac:dyDescent="0.25">
      <c r="A60">
        <v>11320</v>
      </c>
      <c r="B60">
        <f>VLOOKUP(A60,'Suc BD'!A:A,1,FALSE)</f>
        <v>11320</v>
      </c>
      <c r="C60" t="s">
        <v>2027</v>
      </c>
      <c r="D60" t="s">
        <v>10</v>
      </c>
      <c r="E60" t="s">
        <v>2430</v>
      </c>
      <c r="F60" t="s">
        <v>714</v>
      </c>
      <c r="G60" t="s">
        <v>2181</v>
      </c>
      <c r="H60" t="s">
        <v>11</v>
      </c>
      <c r="I60" s="31" t="s">
        <v>2214</v>
      </c>
      <c r="J60" t="s">
        <v>2253</v>
      </c>
    </row>
    <row r="61" spans="1:10" x14ac:dyDescent="0.25">
      <c r="A61">
        <v>11116</v>
      </c>
      <c r="B61">
        <f>VLOOKUP(A61,'Suc BD'!A:A,1,FALSE)</f>
        <v>11116</v>
      </c>
      <c r="C61" t="s">
        <v>1316</v>
      </c>
      <c r="D61" t="s">
        <v>14</v>
      </c>
      <c r="E61" t="s">
        <v>1351</v>
      </c>
      <c r="F61" t="s">
        <v>1317</v>
      </c>
      <c r="G61" t="s">
        <v>2197</v>
      </c>
      <c r="H61" t="s">
        <v>15</v>
      </c>
      <c r="I61" s="31" t="s">
        <v>2216</v>
      </c>
      <c r="J61" t="s">
        <v>2253</v>
      </c>
    </row>
    <row r="62" spans="1:10" x14ac:dyDescent="0.25">
      <c r="A62">
        <v>11020</v>
      </c>
      <c r="B62">
        <f>VLOOKUP(A62,'Suc BD'!A:A,1,FALSE)</f>
        <v>11020</v>
      </c>
      <c r="C62" t="s">
        <v>1275</v>
      </c>
      <c r="D62" t="s">
        <v>14</v>
      </c>
      <c r="E62" t="s">
        <v>1270</v>
      </c>
      <c r="F62" t="s">
        <v>1271</v>
      </c>
      <c r="G62" t="s">
        <v>2196</v>
      </c>
      <c r="H62" t="s">
        <v>15</v>
      </c>
      <c r="I62" s="31" t="s">
        <v>2216</v>
      </c>
      <c r="J62" t="s">
        <v>2253</v>
      </c>
    </row>
    <row r="63" spans="1:10" x14ac:dyDescent="0.25">
      <c r="A63">
        <v>11331</v>
      </c>
      <c r="B63">
        <f>VLOOKUP(A63,'Suc BD'!A:A,1,FALSE)</f>
        <v>11331</v>
      </c>
      <c r="C63" t="s">
        <v>1545</v>
      </c>
      <c r="D63" t="s">
        <v>16</v>
      </c>
      <c r="E63" t="s">
        <v>1546</v>
      </c>
      <c r="F63" t="s">
        <v>1528</v>
      </c>
      <c r="G63" t="s">
        <v>2202</v>
      </c>
      <c r="H63" t="s">
        <v>17</v>
      </c>
      <c r="I63" s="31" t="s">
        <v>2217</v>
      </c>
      <c r="J63" t="s">
        <v>2253</v>
      </c>
    </row>
    <row r="64" spans="1:10" x14ac:dyDescent="0.25">
      <c r="A64">
        <v>11099</v>
      </c>
      <c r="B64">
        <f>VLOOKUP(A64,'Suc BD'!A:A,1,FALSE)</f>
        <v>11099</v>
      </c>
      <c r="C64" t="s">
        <v>425</v>
      </c>
      <c r="D64" t="s">
        <v>10</v>
      </c>
      <c r="E64" t="s">
        <v>2438</v>
      </c>
      <c r="F64" t="s">
        <v>555</v>
      </c>
      <c r="G64" t="s">
        <v>2182</v>
      </c>
      <c r="H64" t="s">
        <v>11</v>
      </c>
      <c r="I64" s="31" t="s">
        <v>2214</v>
      </c>
      <c r="J64" t="s">
        <v>2253</v>
      </c>
    </row>
    <row r="65" spans="1:10" x14ac:dyDescent="0.25">
      <c r="A65">
        <v>11179</v>
      </c>
      <c r="B65">
        <f>VLOOKUP(A65,'Suc BD'!A:A,1,FALSE)</f>
        <v>11179</v>
      </c>
      <c r="C65" t="s">
        <v>1237</v>
      </c>
      <c r="D65" t="s">
        <v>14</v>
      </c>
      <c r="E65" t="s">
        <v>1956</v>
      </c>
      <c r="F65" t="s">
        <v>1238</v>
      </c>
      <c r="G65" t="s">
        <v>2195</v>
      </c>
      <c r="H65" t="s">
        <v>15</v>
      </c>
      <c r="I65" s="31" t="s">
        <v>2216</v>
      </c>
      <c r="J65" t="s">
        <v>2253</v>
      </c>
    </row>
    <row r="66" spans="1:10" x14ac:dyDescent="0.25">
      <c r="A66">
        <v>11096</v>
      </c>
      <c r="B66">
        <f>VLOOKUP(A66,'Suc BD'!A:A,1,FALSE)</f>
        <v>11096</v>
      </c>
      <c r="C66" t="s">
        <v>328</v>
      </c>
      <c r="D66" t="s">
        <v>8</v>
      </c>
      <c r="E66" t="s">
        <v>2321</v>
      </c>
      <c r="F66" t="s">
        <v>316</v>
      </c>
      <c r="G66" t="s">
        <v>2170</v>
      </c>
      <c r="H66" t="s">
        <v>9</v>
      </c>
      <c r="I66" s="31" t="s">
        <v>2213</v>
      </c>
      <c r="J66" t="s">
        <v>2253</v>
      </c>
    </row>
    <row r="67" spans="1:10" x14ac:dyDescent="0.25">
      <c r="A67">
        <v>11647</v>
      </c>
      <c r="B67">
        <f>VLOOKUP(A67,'Suc BD'!A:A,1,FALSE)</f>
        <v>11647</v>
      </c>
      <c r="C67" t="s">
        <v>2092</v>
      </c>
      <c r="D67" t="s">
        <v>18</v>
      </c>
      <c r="E67" t="s">
        <v>1848</v>
      </c>
      <c r="F67" t="s">
        <v>1867</v>
      </c>
      <c r="G67" t="s">
        <v>2463</v>
      </c>
      <c r="H67" t="s">
        <v>395</v>
      </c>
      <c r="I67" s="31" t="s">
        <v>99</v>
      </c>
      <c r="J67" t="s">
        <v>2253</v>
      </c>
    </row>
    <row r="68" spans="1:10" x14ac:dyDescent="0.25">
      <c r="A68">
        <v>12391</v>
      </c>
      <c r="B68" t="e">
        <f>VLOOKUP(A68,'Suc BD'!A:A,1,FALSE)</f>
        <v>#N/A</v>
      </c>
      <c r="C68" t="s">
        <v>2247</v>
      </c>
      <c r="D68" t="s">
        <v>12</v>
      </c>
      <c r="E68" t="s">
        <v>2070</v>
      </c>
      <c r="F68" t="s">
        <v>920</v>
      </c>
      <c r="G68" t="s">
        <v>2188</v>
      </c>
      <c r="H68" t="s">
        <v>13</v>
      </c>
      <c r="I68" s="31" t="s">
        <v>2215</v>
      </c>
      <c r="J68" t="s">
        <v>2253</v>
      </c>
    </row>
    <row r="69" spans="1:10" x14ac:dyDescent="0.25">
      <c r="A69">
        <v>11524</v>
      </c>
      <c r="B69">
        <f>VLOOKUP(A69,'Suc BD'!A:A,1,FALSE)</f>
        <v>11524</v>
      </c>
      <c r="C69" t="s">
        <v>1345</v>
      </c>
      <c r="D69" t="s">
        <v>14</v>
      </c>
      <c r="E69" t="s">
        <v>1346</v>
      </c>
      <c r="F69" t="s">
        <v>1317</v>
      </c>
      <c r="G69" t="s">
        <v>2197</v>
      </c>
      <c r="H69" t="s">
        <v>15</v>
      </c>
      <c r="I69" s="31" t="s">
        <v>2216</v>
      </c>
      <c r="J69" t="s">
        <v>2253</v>
      </c>
    </row>
    <row r="70" spans="1:10" x14ac:dyDescent="0.25">
      <c r="A70">
        <v>11554</v>
      </c>
      <c r="B70">
        <f>VLOOKUP(A70,'Suc BD'!A:A,1,FALSE)</f>
        <v>11554</v>
      </c>
      <c r="C70" t="s">
        <v>233</v>
      </c>
      <c r="D70" t="s">
        <v>8</v>
      </c>
      <c r="E70" t="s">
        <v>2293</v>
      </c>
      <c r="F70" t="s">
        <v>196</v>
      </c>
      <c r="G70" t="s">
        <v>2168</v>
      </c>
      <c r="H70" t="s">
        <v>9</v>
      </c>
      <c r="I70" s="31" t="s">
        <v>2213</v>
      </c>
      <c r="J70" t="s">
        <v>2253</v>
      </c>
    </row>
    <row r="71" spans="1:10" x14ac:dyDescent="0.25">
      <c r="A71">
        <v>11295</v>
      </c>
      <c r="B71">
        <f>VLOOKUP(A71,'Suc BD'!A:A,1,FALSE)</f>
        <v>11295</v>
      </c>
      <c r="C71" t="s">
        <v>1294</v>
      </c>
      <c r="D71" t="s">
        <v>14</v>
      </c>
      <c r="E71" t="s">
        <v>2455</v>
      </c>
      <c r="F71" t="s">
        <v>1271</v>
      </c>
      <c r="G71" t="s">
        <v>2196</v>
      </c>
      <c r="H71" t="s">
        <v>15</v>
      </c>
      <c r="I71" s="31" t="s">
        <v>2216</v>
      </c>
      <c r="J71" t="s">
        <v>2253</v>
      </c>
    </row>
    <row r="72" spans="1:10" x14ac:dyDescent="0.25">
      <c r="A72">
        <v>11054</v>
      </c>
      <c r="B72">
        <f>VLOOKUP(A72,'Suc BD'!A:A,1,FALSE)</f>
        <v>11054</v>
      </c>
      <c r="C72" t="s">
        <v>1066</v>
      </c>
      <c r="D72" t="s">
        <v>14</v>
      </c>
      <c r="E72" t="s">
        <v>1067</v>
      </c>
      <c r="F72" t="s">
        <v>1061</v>
      </c>
      <c r="G72" t="s">
        <v>2191</v>
      </c>
      <c r="H72" t="s">
        <v>15</v>
      </c>
      <c r="I72" s="31" t="s">
        <v>2216</v>
      </c>
      <c r="J72" t="s">
        <v>2253</v>
      </c>
    </row>
    <row r="73" spans="1:10" x14ac:dyDescent="0.25">
      <c r="A73">
        <v>12310</v>
      </c>
      <c r="B73">
        <f>VLOOKUP(A73,'Suc BD'!A:A,1,FALSE)</f>
        <v>12310</v>
      </c>
      <c r="C73" t="s">
        <v>1897</v>
      </c>
      <c r="D73" t="s">
        <v>18</v>
      </c>
      <c r="E73" t="s">
        <v>1898</v>
      </c>
      <c r="F73" t="s">
        <v>1849</v>
      </c>
      <c r="G73" t="s">
        <v>2208</v>
      </c>
      <c r="H73" t="s">
        <v>395</v>
      </c>
      <c r="I73" s="31" t="s">
        <v>99</v>
      </c>
      <c r="J73" t="s">
        <v>2253</v>
      </c>
    </row>
    <row r="74" spans="1:10" x14ac:dyDescent="0.25">
      <c r="A74">
        <v>11249</v>
      </c>
      <c r="B74">
        <f>VLOOKUP(A74,'Suc BD'!A:A,1,FALSE)</f>
        <v>11249</v>
      </c>
      <c r="C74" t="s">
        <v>1003</v>
      </c>
      <c r="D74" t="s">
        <v>14</v>
      </c>
      <c r="E74" t="s">
        <v>1004</v>
      </c>
      <c r="F74" t="s">
        <v>1000</v>
      </c>
      <c r="G74" t="s">
        <v>2190</v>
      </c>
      <c r="H74" t="s">
        <v>15</v>
      </c>
      <c r="I74" s="31" t="s">
        <v>2216</v>
      </c>
      <c r="J74" t="s">
        <v>2253</v>
      </c>
    </row>
    <row r="75" spans="1:10" x14ac:dyDescent="0.25">
      <c r="A75">
        <v>11545</v>
      </c>
      <c r="B75">
        <f>VLOOKUP(A75,'Suc BD'!A:A,1,FALSE)</f>
        <v>11545</v>
      </c>
      <c r="C75" t="s">
        <v>1220</v>
      </c>
      <c r="D75" t="s">
        <v>14</v>
      </c>
      <c r="E75" t="s">
        <v>2453</v>
      </c>
      <c r="F75" t="s">
        <v>1205</v>
      </c>
      <c r="G75" t="s">
        <v>2194</v>
      </c>
      <c r="H75" t="s">
        <v>15</v>
      </c>
      <c r="I75" s="31" t="s">
        <v>2216</v>
      </c>
      <c r="J75" t="s">
        <v>2253</v>
      </c>
    </row>
    <row r="76" spans="1:10" x14ac:dyDescent="0.25">
      <c r="A76">
        <v>11258</v>
      </c>
      <c r="B76">
        <f>VLOOKUP(A76,'Suc BD'!A:A,1,FALSE)</f>
        <v>11258</v>
      </c>
      <c r="C76" t="s">
        <v>664</v>
      </c>
      <c r="D76" t="s">
        <v>10</v>
      </c>
      <c r="E76" t="s">
        <v>2410</v>
      </c>
      <c r="F76" t="s">
        <v>529</v>
      </c>
      <c r="G76" t="s">
        <v>2179</v>
      </c>
      <c r="H76" t="s">
        <v>11</v>
      </c>
      <c r="I76" s="31" t="s">
        <v>2214</v>
      </c>
      <c r="J76" t="s">
        <v>2253</v>
      </c>
    </row>
    <row r="77" spans="1:10" x14ac:dyDescent="0.25">
      <c r="A77">
        <v>11062</v>
      </c>
      <c r="B77">
        <f>VLOOKUP(A77,'Suc BD'!A:A,1,FALSE)</f>
        <v>11062</v>
      </c>
      <c r="C77" t="s">
        <v>1983</v>
      </c>
      <c r="D77" t="s">
        <v>10</v>
      </c>
      <c r="E77" t="s">
        <v>2375</v>
      </c>
      <c r="F77" t="s">
        <v>618</v>
      </c>
      <c r="G77" t="s">
        <v>2176</v>
      </c>
      <c r="H77" t="s">
        <v>11</v>
      </c>
      <c r="I77" s="31" t="s">
        <v>2214</v>
      </c>
      <c r="J77" t="s">
        <v>2253</v>
      </c>
    </row>
    <row r="78" spans="1:10" x14ac:dyDescent="0.25">
      <c r="A78">
        <v>11004</v>
      </c>
      <c r="B78">
        <f>VLOOKUP(A78,'Suc BD'!A:A,1,FALSE)</f>
        <v>11004</v>
      </c>
      <c r="C78" t="s">
        <v>620</v>
      </c>
      <c r="D78" t="s">
        <v>10</v>
      </c>
      <c r="E78" t="s">
        <v>2396</v>
      </c>
      <c r="F78" t="s">
        <v>646</v>
      </c>
      <c r="G78" t="s">
        <v>2178</v>
      </c>
      <c r="H78" t="s">
        <v>11</v>
      </c>
      <c r="I78" s="31" t="s">
        <v>2214</v>
      </c>
      <c r="J78" t="s">
        <v>2253</v>
      </c>
    </row>
    <row r="79" spans="1:10" x14ac:dyDescent="0.25">
      <c r="A79">
        <v>11354</v>
      </c>
      <c r="B79">
        <f>VLOOKUP(A79,'Suc BD'!A:A,1,FALSE)</f>
        <v>11354</v>
      </c>
      <c r="C79" t="s">
        <v>1147</v>
      </c>
      <c r="D79" t="s">
        <v>14</v>
      </c>
      <c r="E79" t="s">
        <v>1148</v>
      </c>
      <c r="F79" t="s">
        <v>1118</v>
      </c>
      <c r="G79" t="s">
        <v>2192</v>
      </c>
      <c r="H79" t="s">
        <v>15</v>
      </c>
      <c r="I79" s="31" t="s">
        <v>2216</v>
      </c>
      <c r="J79" t="s">
        <v>2253</v>
      </c>
    </row>
    <row r="80" spans="1:10" x14ac:dyDescent="0.25">
      <c r="A80">
        <v>11140</v>
      </c>
      <c r="B80">
        <f>VLOOKUP(A80,'Suc BD'!A:A,1,FALSE)</f>
        <v>11140</v>
      </c>
      <c r="C80" t="s">
        <v>1985</v>
      </c>
      <c r="D80" t="s">
        <v>10</v>
      </c>
      <c r="E80" t="s">
        <v>2377</v>
      </c>
      <c r="F80" t="s">
        <v>618</v>
      </c>
      <c r="G80" t="s">
        <v>2176</v>
      </c>
      <c r="H80" t="s">
        <v>11</v>
      </c>
      <c r="I80" s="31" t="s">
        <v>2214</v>
      </c>
      <c r="J80" t="s">
        <v>2253</v>
      </c>
    </row>
    <row r="81" spans="1:10" x14ac:dyDescent="0.25">
      <c r="A81">
        <v>11255</v>
      </c>
      <c r="B81">
        <f>VLOOKUP(A81,'Suc BD'!A:A,1,FALSE)</f>
        <v>11255</v>
      </c>
      <c r="C81" t="s">
        <v>2005</v>
      </c>
      <c r="D81" t="s">
        <v>10</v>
      </c>
      <c r="E81" t="s">
        <v>2402</v>
      </c>
      <c r="F81" t="s">
        <v>646</v>
      </c>
      <c r="G81" t="s">
        <v>2178</v>
      </c>
      <c r="H81" t="s">
        <v>11</v>
      </c>
      <c r="I81" s="31" t="s">
        <v>2214</v>
      </c>
      <c r="J81" t="s">
        <v>2253</v>
      </c>
    </row>
    <row r="82" spans="1:10" x14ac:dyDescent="0.25">
      <c r="A82">
        <v>11371</v>
      </c>
      <c r="B82">
        <f>VLOOKUP(A82,'Suc BD'!A:A,1,FALSE)</f>
        <v>11371</v>
      </c>
      <c r="C82" t="s">
        <v>1371</v>
      </c>
      <c r="D82" t="s">
        <v>16</v>
      </c>
      <c r="E82" t="s">
        <v>1372</v>
      </c>
      <c r="F82" t="s">
        <v>1362</v>
      </c>
      <c r="G82" t="s">
        <v>2198</v>
      </c>
      <c r="H82" t="s">
        <v>17</v>
      </c>
      <c r="I82" s="31" t="s">
        <v>2217</v>
      </c>
      <c r="J82" t="s">
        <v>2253</v>
      </c>
    </row>
    <row r="83" spans="1:10" x14ac:dyDescent="0.25">
      <c r="A83">
        <v>11852</v>
      </c>
      <c r="B83">
        <f>VLOOKUP(A83,'Suc BD'!A:A,1,FALSE)</f>
        <v>11852</v>
      </c>
      <c r="C83" t="s">
        <v>889</v>
      </c>
      <c r="D83" t="s">
        <v>12</v>
      </c>
      <c r="E83" t="s">
        <v>2064</v>
      </c>
      <c r="F83" t="s">
        <v>859</v>
      </c>
      <c r="G83" t="s">
        <v>2186</v>
      </c>
      <c r="H83" t="s">
        <v>13</v>
      </c>
      <c r="I83" s="31" t="s">
        <v>2215</v>
      </c>
      <c r="J83" t="s">
        <v>2253</v>
      </c>
    </row>
    <row r="84" spans="1:10" x14ac:dyDescent="0.25">
      <c r="A84">
        <v>11854</v>
      </c>
      <c r="B84">
        <f>VLOOKUP(A84,'Suc BD'!A:A,1,FALSE)</f>
        <v>11854</v>
      </c>
      <c r="C84" t="s">
        <v>1311</v>
      </c>
      <c r="D84" t="s">
        <v>14</v>
      </c>
      <c r="E84" t="s">
        <v>1312</v>
      </c>
      <c r="F84" t="s">
        <v>1271</v>
      </c>
      <c r="G84" t="s">
        <v>2196</v>
      </c>
      <c r="H84" t="s">
        <v>15</v>
      </c>
      <c r="I84" s="31" t="s">
        <v>2216</v>
      </c>
      <c r="J84" t="s">
        <v>2253</v>
      </c>
    </row>
    <row r="85" spans="1:10" x14ac:dyDescent="0.25">
      <c r="A85">
        <v>11122</v>
      </c>
      <c r="B85">
        <f>VLOOKUP(A85,'Suc BD'!A:A,1,FALSE)</f>
        <v>11122</v>
      </c>
      <c r="C85" t="s">
        <v>1812</v>
      </c>
      <c r="D85" t="s">
        <v>18</v>
      </c>
      <c r="E85" t="s">
        <v>1813</v>
      </c>
      <c r="F85" t="s">
        <v>1708</v>
      </c>
      <c r="G85" t="s">
        <v>2206</v>
      </c>
      <c r="H85" t="s">
        <v>395</v>
      </c>
      <c r="I85" s="31" t="s">
        <v>99</v>
      </c>
      <c r="J85" t="s">
        <v>2253</v>
      </c>
    </row>
    <row r="86" spans="1:10" x14ac:dyDescent="0.25">
      <c r="A86">
        <v>11036</v>
      </c>
      <c r="B86">
        <f>VLOOKUP(A86,'Suc BD'!A:A,1,FALSE)</f>
        <v>11036</v>
      </c>
      <c r="C86" t="s">
        <v>1993</v>
      </c>
      <c r="D86" t="s">
        <v>10</v>
      </c>
      <c r="E86" t="s">
        <v>2388</v>
      </c>
      <c r="F86" t="s">
        <v>588</v>
      </c>
      <c r="G86" t="s">
        <v>2177</v>
      </c>
      <c r="H86" t="s">
        <v>11</v>
      </c>
      <c r="I86" s="31" t="s">
        <v>2214</v>
      </c>
      <c r="J86" t="s">
        <v>2253</v>
      </c>
    </row>
    <row r="87" spans="1:10" x14ac:dyDescent="0.25">
      <c r="A87">
        <v>12402</v>
      </c>
      <c r="B87">
        <f>VLOOKUP(A87,'Suc BD'!A:A,1,FALSE)</f>
        <v>12402</v>
      </c>
      <c r="C87" t="s">
        <v>2014</v>
      </c>
      <c r="D87" t="s">
        <v>10</v>
      </c>
      <c r="E87" t="s">
        <v>2413</v>
      </c>
      <c r="F87" t="s">
        <v>529</v>
      </c>
      <c r="G87" t="s">
        <v>2179</v>
      </c>
      <c r="H87" t="s">
        <v>11</v>
      </c>
      <c r="I87" s="31" t="s">
        <v>2214</v>
      </c>
      <c r="J87" t="s">
        <v>2253</v>
      </c>
    </row>
    <row r="88" spans="1:10" x14ac:dyDescent="0.25">
      <c r="A88">
        <v>11930</v>
      </c>
      <c r="B88">
        <f>VLOOKUP(A88,'Suc BD'!A:A,1,FALSE)</f>
        <v>11930</v>
      </c>
      <c r="C88" t="s">
        <v>1157</v>
      </c>
      <c r="D88" t="s">
        <v>14</v>
      </c>
      <c r="E88" t="s">
        <v>1158</v>
      </c>
      <c r="F88" t="s">
        <v>1118</v>
      </c>
      <c r="G88" t="s">
        <v>2192</v>
      </c>
      <c r="H88" t="s">
        <v>15</v>
      </c>
      <c r="I88" s="31" t="s">
        <v>2216</v>
      </c>
      <c r="J88" t="s">
        <v>2253</v>
      </c>
    </row>
    <row r="89" spans="1:10" x14ac:dyDescent="0.25">
      <c r="A89">
        <v>11251</v>
      </c>
      <c r="B89">
        <f>VLOOKUP(A89,'Suc BD'!A:A,1,FALSE)</f>
        <v>11251</v>
      </c>
      <c r="C89" t="s">
        <v>2026</v>
      </c>
      <c r="D89" t="s">
        <v>10</v>
      </c>
      <c r="E89" t="s">
        <v>2429</v>
      </c>
      <c r="F89" t="s">
        <v>714</v>
      </c>
      <c r="G89" t="s">
        <v>2181</v>
      </c>
      <c r="H89" t="s">
        <v>11</v>
      </c>
      <c r="I89" s="31" t="s">
        <v>2214</v>
      </c>
      <c r="J89" t="s">
        <v>2253</v>
      </c>
    </row>
    <row r="90" spans="1:10" x14ac:dyDescent="0.25">
      <c r="A90">
        <v>11032</v>
      </c>
      <c r="B90">
        <f>VLOOKUP(A90,'Suc BD'!A:A,1,FALSE)</f>
        <v>11032</v>
      </c>
      <c r="C90" t="s">
        <v>1906</v>
      </c>
      <c r="D90" t="s">
        <v>18</v>
      </c>
      <c r="E90" t="s">
        <v>2461</v>
      </c>
      <c r="F90" t="s">
        <v>1908</v>
      </c>
      <c r="G90" t="s">
        <v>2209</v>
      </c>
      <c r="H90" t="s">
        <v>395</v>
      </c>
      <c r="I90" s="31" t="s">
        <v>99</v>
      </c>
      <c r="J90" t="s">
        <v>2253</v>
      </c>
    </row>
    <row r="91" spans="1:10" x14ac:dyDescent="0.25">
      <c r="A91">
        <v>11058</v>
      </c>
      <c r="B91">
        <f>VLOOKUP(A91,'Suc BD'!A:A,1,FALSE)</f>
        <v>11058</v>
      </c>
      <c r="C91" t="s">
        <v>320</v>
      </c>
      <c r="D91" t="s">
        <v>8</v>
      </c>
      <c r="E91" t="s">
        <v>2319</v>
      </c>
      <c r="F91" t="s">
        <v>316</v>
      </c>
      <c r="G91" t="s">
        <v>2170</v>
      </c>
      <c r="H91" t="s">
        <v>9</v>
      </c>
      <c r="I91" s="31" t="s">
        <v>2213</v>
      </c>
      <c r="J91" t="s">
        <v>2253</v>
      </c>
    </row>
    <row r="92" spans="1:10" x14ac:dyDescent="0.25">
      <c r="A92">
        <v>11156</v>
      </c>
      <c r="B92">
        <f>VLOOKUP(A92,'Suc BD'!A:A,1,FALSE)</f>
        <v>11156</v>
      </c>
      <c r="C92" t="s">
        <v>1133</v>
      </c>
      <c r="D92" t="s">
        <v>14</v>
      </c>
      <c r="E92" t="s">
        <v>1134</v>
      </c>
      <c r="F92" t="s">
        <v>1118</v>
      </c>
      <c r="G92" t="s">
        <v>2192</v>
      </c>
      <c r="H92" t="s">
        <v>15</v>
      </c>
      <c r="I92" s="31" t="s">
        <v>2216</v>
      </c>
      <c r="J92" t="s">
        <v>2253</v>
      </c>
    </row>
    <row r="93" spans="1:10" x14ac:dyDescent="0.25">
      <c r="A93">
        <v>11881</v>
      </c>
      <c r="B93">
        <f>VLOOKUP(A93,'Suc BD'!A:A,1,FALSE)</f>
        <v>11881</v>
      </c>
      <c r="C93" t="s">
        <v>258</v>
      </c>
      <c r="D93" t="s">
        <v>8</v>
      </c>
      <c r="E93" t="s">
        <v>2333</v>
      </c>
      <c r="F93" t="s">
        <v>2237</v>
      </c>
      <c r="G93" t="s">
        <v>53</v>
      </c>
      <c r="H93" t="s">
        <v>9</v>
      </c>
      <c r="I93" s="31" t="s">
        <v>2213</v>
      </c>
      <c r="J93" t="s">
        <v>2253</v>
      </c>
    </row>
    <row r="94" spans="1:10" x14ac:dyDescent="0.25">
      <c r="A94">
        <v>11562</v>
      </c>
      <c r="B94">
        <f>VLOOKUP(A94,'Suc BD'!A:A,1,FALSE)</f>
        <v>11562</v>
      </c>
      <c r="C94" t="s">
        <v>1460</v>
      </c>
      <c r="D94" t="s">
        <v>16</v>
      </c>
      <c r="E94" t="s">
        <v>1461</v>
      </c>
      <c r="F94" t="s">
        <v>1431</v>
      </c>
      <c r="G94" t="s">
        <v>2200</v>
      </c>
      <c r="H94" t="s">
        <v>17</v>
      </c>
      <c r="I94" s="31" t="s">
        <v>2217</v>
      </c>
      <c r="J94" t="s">
        <v>2253</v>
      </c>
    </row>
    <row r="95" spans="1:10" x14ac:dyDescent="0.25">
      <c r="A95">
        <v>11865</v>
      </c>
      <c r="B95">
        <f>VLOOKUP(A95,'Suc BD'!A:A,1,FALSE)</f>
        <v>11865</v>
      </c>
      <c r="C95" t="s">
        <v>2022</v>
      </c>
      <c r="D95" t="s">
        <v>10</v>
      </c>
      <c r="E95" t="s">
        <v>2424</v>
      </c>
      <c r="F95" t="s">
        <v>675</v>
      </c>
      <c r="G95" t="s">
        <v>2180</v>
      </c>
      <c r="H95" t="s">
        <v>11</v>
      </c>
      <c r="I95" s="31" t="s">
        <v>2214</v>
      </c>
      <c r="J95" t="s">
        <v>2253</v>
      </c>
    </row>
    <row r="96" spans="1:10" x14ac:dyDescent="0.25">
      <c r="A96">
        <v>11148</v>
      </c>
      <c r="B96">
        <f>VLOOKUP(A96,'Suc BD'!A:A,1,FALSE)</f>
        <v>11148</v>
      </c>
      <c r="C96" t="s">
        <v>577</v>
      </c>
      <c r="D96" t="s">
        <v>10</v>
      </c>
      <c r="E96" t="s">
        <v>2409</v>
      </c>
      <c r="F96" t="s">
        <v>529</v>
      </c>
      <c r="G96" t="s">
        <v>2179</v>
      </c>
      <c r="H96" t="s">
        <v>11</v>
      </c>
      <c r="I96" s="31" t="s">
        <v>2214</v>
      </c>
      <c r="J96" t="s">
        <v>2253</v>
      </c>
    </row>
    <row r="97" spans="1:10" x14ac:dyDescent="0.25">
      <c r="A97">
        <v>11199</v>
      </c>
      <c r="B97">
        <f>VLOOKUP(A97,'Suc BD'!A:A,1,FALSE)</f>
        <v>11199</v>
      </c>
      <c r="C97" t="s">
        <v>564</v>
      </c>
      <c r="D97" t="s">
        <v>10</v>
      </c>
      <c r="E97" t="s">
        <v>2379</v>
      </c>
      <c r="F97" t="s">
        <v>618</v>
      </c>
      <c r="G97" t="s">
        <v>2176</v>
      </c>
      <c r="H97" t="s">
        <v>11</v>
      </c>
      <c r="I97" s="31" t="s">
        <v>2214</v>
      </c>
      <c r="J97" t="s">
        <v>2253</v>
      </c>
    </row>
    <row r="98" spans="1:10" x14ac:dyDescent="0.25">
      <c r="A98">
        <v>11159</v>
      </c>
      <c r="B98">
        <f>VLOOKUP(A98,'Suc BD'!A:A,1,FALSE)</f>
        <v>11159</v>
      </c>
      <c r="C98" t="s">
        <v>205</v>
      </c>
      <c r="D98" t="s">
        <v>8</v>
      </c>
      <c r="E98" t="s">
        <v>2286</v>
      </c>
      <c r="F98" t="s">
        <v>196</v>
      </c>
      <c r="G98" t="s">
        <v>2168</v>
      </c>
      <c r="H98" t="s">
        <v>9</v>
      </c>
      <c r="I98" s="31" t="s">
        <v>2213</v>
      </c>
      <c r="J98" t="s">
        <v>2253</v>
      </c>
    </row>
    <row r="99" spans="1:10" x14ac:dyDescent="0.25">
      <c r="A99">
        <v>11297</v>
      </c>
      <c r="B99">
        <f>VLOOKUP(A99,'Suc BD'!A:A,1,FALSE)</f>
        <v>11297</v>
      </c>
      <c r="C99" t="s">
        <v>1009</v>
      </c>
      <c r="D99" t="s">
        <v>14</v>
      </c>
      <c r="E99" t="s">
        <v>1010</v>
      </c>
      <c r="F99" t="s">
        <v>1000</v>
      </c>
      <c r="G99" t="s">
        <v>2190</v>
      </c>
      <c r="H99" t="s">
        <v>15</v>
      </c>
      <c r="I99" s="31" t="s">
        <v>2216</v>
      </c>
      <c r="J99" t="s">
        <v>2253</v>
      </c>
    </row>
    <row r="100" spans="1:10" x14ac:dyDescent="0.25">
      <c r="A100">
        <v>11420</v>
      </c>
      <c r="B100">
        <f>VLOOKUP(A100,'Suc BD'!A:A,1,FALSE)</f>
        <v>11420</v>
      </c>
      <c r="C100" t="s">
        <v>2029</v>
      </c>
      <c r="D100" t="s">
        <v>10</v>
      </c>
      <c r="E100" t="s">
        <v>2432</v>
      </c>
      <c r="F100" t="s">
        <v>714</v>
      </c>
      <c r="G100" t="s">
        <v>2181</v>
      </c>
      <c r="H100" t="s">
        <v>11</v>
      </c>
      <c r="I100" s="31" t="s">
        <v>2214</v>
      </c>
      <c r="J100" t="s">
        <v>2253</v>
      </c>
    </row>
    <row r="101" spans="1:10" x14ac:dyDescent="0.25">
      <c r="A101">
        <v>11329</v>
      </c>
      <c r="B101">
        <f>VLOOKUP(A101,'Suc BD'!A:A,1,FALSE)</f>
        <v>11329</v>
      </c>
      <c r="C101" t="s">
        <v>1014</v>
      </c>
      <c r="D101" t="s">
        <v>14</v>
      </c>
      <c r="E101" t="s">
        <v>1295</v>
      </c>
      <c r="F101" t="s">
        <v>1000</v>
      </c>
      <c r="G101" t="s">
        <v>2190</v>
      </c>
      <c r="H101" t="s">
        <v>15</v>
      </c>
      <c r="I101" s="31" t="s">
        <v>2216</v>
      </c>
      <c r="J101" t="s">
        <v>2253</v>
      </c>
    </row>
    <row r="102" spans="1:10" x14ac:dyDescent="0.25">
      <c r="A102">
        <v>12382</v>
      </c>
      <c r="B102" t="e">
        <f>VLOOKUP(A102,'Suc BD'!A:A,1,FALSE)</f>
        <v>#N/A</v>
      </c>
      <c r="C102" t="s">
        <v>2130</v>
      </c>
      <c r="D102" t="s">
        <v>18</v>
      </c>
      <c r="E102" t="s">
        <v>1759</v>
      </c>
      <c r="F102" t="s">
        <v>1849</v>
      </c>
      <c r="G102" t="s">
        <v>2208</v>
      </c>
      <c r="H102" t="s">
        <v>395</v>
      </c>
      <c r="I102" s="31" t="s">
        <v>99</v>
      </c>
      <c r="J102" t="s">
        <v>2253</v>
      </c>
    </row>
    <row r="103" spans="1:10" x14ac:dyDescent="0.25">
      <c r="A103">
        <v>12331</v>
      </c>
      <c r="B103">
        <f>VLOOKUP(A103,'Suc BD'!A:A,1,FALSE)</f>
        <v>12331</v>
      </c>
      <c r="C103" t="s">
        <v>1031</v>
      </c>
      <c r="D103" t="s">
        <v>14</v>
      </c>
      <c r="E103" t="s">
        <v>1032</v>
      </c>
      <c r="F103" t="s">
        <v>1000</v>
      </c>
      <c r="G103" t="s">
        <v>2190</v>
      </c>
      <c r="H103" t="s">
        <v>15</v>
      </c>
      <c r="I103" s="31" t="s">
        <v>2216</v>
      </c>
      <c r="J103" t="s">
        <v>2253</v>
      </c>
    </row>
    <row r="104" spans="1:10" x14ac:dyDescent="0.25">
      <c r="A104">
        <v>11956</v>
      </c>
      <c r="B104">
        <f>VLOOKUP(A104,'Suc BD'!A:A,1,FALSE)</f>
        <v>11956</v>
      </c>
      <c r="C104" t="s">
        <v>1643</v>
      </c>
      <c r="D104" t="s">
        <v>16</v>
      </c>
      <c r="E104" t="s">
        <v>1961</v>
      </c>
      <c r="F104" t="s">
        <v>1607</v>
      </c>
      <c r="G104" t="s">
        <v>2204</v>
      </c>
      <c r="H104" t="s">
        <v>17</v>
      </c>
      <c r="I104" s="31" t="s">
        <v>2217</v>
      </c>
      <c r="J104" t="s">
        <v>2253</v>
      </c>
    </row>
    <row r="105" spans="1:10" x14ac:dyDescent="0.25">
      <c r="A105">
        <v>11184</v>
      </c>
      <c r="B105">
        <f>VLOOKUP(A105,'Suc BD'!A:A,1,FALSE)</f>
        <v>11184</v>
      </c>
      <c r="C105" t="s">
        <v>1968</v>
      </c>
      <c r="D105" t="s">
        <v>8</v>
      </c>
      <c r="E105" t="s">
        <v>2346</v>
      </c>
      <c r="F105" t="s">
        <v>440</v>
      </c>
      <c r="G105" t="s">
        <v>2173</v>
      </c>
      <c r="H105" t="s">
        <v>9</v>
      </c>
      <c r="I105" s="31" t="s">
        <v>2213</v>
      </c>
      <c r="J105" t="s">
        <v>2253</v>
      </c>
    </row>
    <row r="106" spans="1:10" x14ac:dyDescent="0.25">
      <c r="A106">
        <v>11491</v>
      </c>
      <c r="B106">
        <f>VLOOKUP(A106,'Suc BD'!A:A,1,FALSE)</f>
        <v>11491</v>
      </c>
      <c r="C106" t="s">
        <v>1189</v>
      </c>
      <c r="D106" t="s">
        <v>14</v>
      </c>
      <c r="E106" t="s">
        <v>1190</v>
      </c>
      <c r="F106" t="s">
        <v>1164</v>
      </c>
      <c r="G106" t="s">
        <v>2193</v>
      </c>
      <c r="H106" t="s">
        <v>15</v>
      </c>
      <c r="I106" s="31" t="s">
        <v>2216</v>
      </c>
      <c r="J106" t="s">
        <v>2253</v>
      </c>
    </row>
    <row r="107" spans="1:10" x14ac:dyDescent="0.25">
      <c r="A107">
        <v>11106</v>
      </c>
      <c r="B107">
        <f>VLOOKUP(A107,'Suc BD'!A:A,1,FALSE)</f>
        <v>11106</v>
      </c>
      <c r="C107" t="s">
        <v>399</v>
      </c>
      <c r="D107" t="s">
        <v>8</v>
      </c>
      <c r="E107" t="s">
        <v>2296</v>
      </c>
      <c r="F107" t="s">
        <v>242</v>
      </c>
      <c r="G107" t="s">
        <v>2172</v>
      </c>
      <c r="H107" t="s">
        <v>9</v>
      </c>
      <c r="I107" s="31" t="s">
        <v>2213</v>
      </c>
      <c r="J107" t="s">
        <v>2253</v>
      </c>
    </row>
    <row r="108" spans="1:10" x14ac:dyDescent="0.25">
      <c r="A108">
        <v>12413</v>
      </c>
      <c r="B108" t="e">
        <f>VLOOKUP(A108,'Suc BD'!A:A,1,FALSE)</f>
        <v>#N/A</v>
      </c>
      <c r="C108" t="s">
        <v>1947</v>
      </c>
      <c r="D108" t="s">
        <v>8</v>
      </c>
      <c r="E108" t="s">
        <v>2317</v>
      </c>
      <c r="F108" t="s">
        <v>275</v>
      </c>
      <c r="G108" t="s">
        <v>2169</v>
      </c>
      <c r="H108" t="s">
        <v>9</v>
      </c>
      <c r="I108" s="31" t="s">
        <v>2213</v>
      </c>
      <c r="J108" t="s">
        <v>2253</v>
      </c>
    </row>
    <row r="109" spans="1:10" x14ac:dyDescent="0.25">
      <c r="A109">
        <v>11037</v>
      </c>
      <c r="B109">
        <f>VLOOKUP(A109,'Suc BD'!A:A,1,FALSE)</f>
        <v>11037</v>
      </c>
      <c r="C109" t="s">
        <v>2034</v>
      </c>
      <c r="D109" t="s">
        <v>10</v>
      </c>
      <c r="E109" t="s">
        <v>2437</v>
      </c>
      <c r="F109" t="s">
        <v>555</v>
      </c>
      <c r="G109" t="s">
        <v>2182</v>
      </c>
      <c r="H109" t="s">
        <v>11</v>
      </c>
      <c r="I109" s="31" t="s">
        <v>2214</v>
      </c>
      <c r="J109" t="s">
        <v>2253</v>
      </c>
    </row>
    <row r="110" spans="1:10" x14ac:dyDescent="0.25">
      <c r="A110">
        <v>11359</v>
      </c>
      <c r="B110">
        <f>VLOOKUP(A110,'Suc BD'!A:A,1,FALSE)</f>
        <v>11359</v>
      </c>
      <c r="C110" t="s">
        <v>1340</v>
      </c>
      <c r="D110" t="s">
        <v>14</v>
      </c>
      <c r="E110" t="s">
        <v>1341</v>
      </c>
      <c r="F110" t="s">
        <v>1317</v>
      </c>
      <c r="G110" t="s">
        <v>2197</v>
      </c>
      <c r="H110" t="s">
        <v>15</v>
      </c>
      <c r="I110" s="31" t="s">
        <v>2216</v>
      </c>
      <c r="J110" t="s">
        <v>2253</v>
      </c>
    </row>
    <row r="111" spans="1:10" x14ac:dyDescent="0.25">
      <c r="A111">
        <v>11519</v>
      </c>
      <c r="B111">
        <f>VLOOKUP(A111,'Suc BD'!A:A,1,FALSE)</f>
        <v>11519</v>
      </c>
      <c r="C111" t="s">
        <v>1788</v>
      </c>
      <c r="D111" t="s">
        <v>18</v>
      </c>
      <c r="E111" t="s">
        <v>2122</v>
      </c>
      <c r="F111" t="s">
        <v>1849</v>
      </c>
      <c r="G111" t="s">
        <v>2208</v>
      </c>
      <c r="H111" t="s">
        <v>395</v>
      </c>
      <c r="I111" s="31" t="s">
        <v>99</v>
      </c>
      <c r="J111" t="s">
        <v>2253</v>
      </c>
    </row>
    <row r="112" spans="1:10" x14ac:dyDescent="0.25">
      <c r="A112">
        <v>12323</v>
      </c>
      <c r="B112">
        <f>VLOOKUP(A112,'Suc BD'!A:A,1,FALSE)</f>
        <v>12323</v>
      </c>
      <c r="C112" t="s">
        <v>1796</v>
      </c>
      <c r="D112" t="s">
        <v>18</v>
      </c>
      <c r="E112" t="s">
        <v>2140</v>
      </c>
      <c r="F112" t="s">
        <v>1849</v>
      </c>
      <c r="G112" t="s">
        <v>2208</v>
      </c>
      <c r="H112" t="s">
        <v>395</v>
      </c>
      <c r="I112" s="31" t="s">
        <v>99</v>
      </c>
      <c r="J112" t="s">
        <v>2253</v>
      </c>
    </row>
    <row r="113" spans="1:10" x14ac:dyDescent="0.25">
      <c r="A113">
        <v>11506</v>
      </c>
      <c r="B113">
        <f>VLOOKUP(A113,'Suc BD'!A:A,1,FALSE)</f>
        <v>11506</v>
      </c>
      <c r="C113" t="s">
        <v>1973</v>
      </c>
      <c r="D113" t="s">
        <v>10</v>
      </c>
      <c r="E113" t="s">
        <v>2363</v>
      </c>
      <c r="F113" t="s">
        <v>489</v>
      </c>
      <c r="G113" t="s">
        <v>2174</v>
      </c>
      <c r="H113" t="s">
        <v>11</v>
      </c>
      <c r="I113" s="31" t="s">
        <v>2214</v>
      </c>
      <c r="J113" t="s">
        <v>2253</v>
      </c>
    </row>
    <row r="114" spans="1:10" x14ac:dyDescent="0.25">
      <c r="A114">
        <v>11422</v>
      </c>
      <c r="B114">
        <f>VLOOKUP(A114,'Suc BD'!A:A,1,FALSE)</f>
        <v>11422</v>
      </c>
      <c r="C114" t="s">
        <v>838</v>
      </c>
      <c r="D114" t="s">
        <v>12</v>
      </c>
      <c r="E114" t="s">
        <v>2056</v>
      </c>
      <c r="F114" t="s">
        <v>820</v>
      </c>
      <c r="G114" t="s">
        <v>2185</v>
      </c>
      <c r="H114" t="s">
        <v>13</v>
      </c>
      <c r="I114" s="31" t="s">
        <v>2215</v>
      </c>
      <c r="J114" t="s">
        <v>2253</v>
      </c>
    </row>
    <row r="115" spans="1:10" x14ac:dyDescent="0.25">
      <c r="A115">
        <v>11942</v>
      </c>
      <c r="B115">
        <f>VLOOKUP(A115,'Suc BD'!A:A,1,FALSE)</f>
        <v>11942</v>
      </c>
      <c r="C115" t="s">
        <v>1261</v>
      </c>
      <c r="D115" t="s">
        <v>14</v>
      </c>
      <c r="E115" t="s">
        <v>1054</v>
      </c>
      <c r="F115" t="s">
        <v>1238</v>
      </c>
      <c r="G115" t="s">
        <v>2195</v>
      </c>
      <c r="H115" t="s">
        <v>15</v>
      </c>
      <c r="I115" s="31" t="s">
        <v>2216</v>
      </c>
      <c r="J115" t="s">
        <v>2253</v>
      </c>
    </row>
    <row r="116" spans="1:10" x14ac:dyDescent="0.25">
      <c r="A116">
        <v>11353</v>
      </c>
      <c r="B116">
        <f>VLOOKUP(A116,'Suc BD'!A:A,1,FALSE)</f>
        <v>11353</v>
      </c>
      <c r="C116" t="s">
        <v>1143</v>
      </c>
      <c r="D116" t="s">
        <v>14</v>
      </c>
      <c r="E116" t="s">
        <v>1153</v>
      </c>
      <c r="F116" t="s">
        <v>1118</v>
      </c>
      <c r="G116" t="s">
        <v>2192</v>
      </c>
      <c r="H116" t="s">
        <v>15</v>
      </c>
      <c r="I116" s="31" t="s">
        <v>2216</v>
      </c>
      <c r="J116" t="s">
        <v>2253</v>
      </c>
    </row>
    <row r="117" spans="1:10" x14ac:dyDescent="0.25">
      <c r="A117">
        <v>11065</v>
      </c>
      <c r="B117">
        <f>VLOOKUP(A117,'Suc BD'!A:A,1,FALSE)</f>
        <v>11065</v>
      </c>
      <c r="C117" t="s">
        <v>1663</v>
      </c>
      <c r="D117" t="s">
        <v>16</v>
      </c>
      <c r="E117" t="s">
        <v>1664</v>
      </c>
      <c r="F117" t="s">
        <v>1658</v>
      </c>
      <c r="G117" t="s">
        <v>2205</v>
      </c>
      <c r="H117" t="s">
        <v>17</v>
      </c>
      <c r="I117" s="31" t="s">
        <v>2217</v>
      </c>
      <c r="J117" t="s">
        <v>2253</v>
      </c>
    </row>
    <row r="118" spans="1:10" x14ac:dyDescent="0.25">
      <c r="A118">
        <v>11914</v>
      </c>
      <c r="B118">
        <f>VLOOKUP(A118,'Suc BD'!A:A,1,FALSE)</f>
        <v>11914</v>
      </c>
      <c r="C118" t="s">
        <v>104</v>
      </c>
      <c r="D118" t="s">
        <v>8</v>
      </c>
      <c r="E118" t="s">
        <v>2263</v>
      </c>
      <c r="F118" t="s">
        <v>52</v>
      </c>
      <c r="G118" t="s">
        <v>2165</v>
      </c>
      <c r="H118" t="s">
        <v>9</v>
      </c>
      <c r="I118" s="31" t="s">
        <v>2213</v>
      </c>
      <c r="J118" t="s">
        <v>2253</v>
      </c>
    </row>
    <row r="119" spans="1:10" x14ac:dyDescent="0.25">
      <c r="A119">
        <v>12303</v>
      </c>
      <c r="B119">
        <f>VLOOKUP(A119,'Suc BD'!A:A,1,FALSE)</f>
        <v>12303</v>
      </c>
      <c r="C119" t="s">
        <v>305</v>
      </c>
      <c r="D119" t="s">
        <v>8</v>
      </c>
      <c r="E119" t="s">
        <v>2314</v>
      </c>
      <c r="F119" t="s">
        <v>275</v>
      </c>
      <c r="G119" t="s">
        <v>2169</v>
      </c>
      <c r="H119" t="s">
        <v>9</v>
      </c>
      <c r="I119" s="31" t="s">
        <v>2213</v>
      </c>
      <c r="J119" t="s">
        <v>2253</v>
      </c>
    </row>
    <row r="120" spans="1:10" x14ac:dyDescent="0.25">
      <c r="A120">
        <v>11231</v>
      </c>
      <c r="B120">
        <f>VLOOKUP(A120,'Suc BD'!A:A,1,FALSE)</f>
        <v>11231</v>
      </c>
      <c r="C120" t="s">
        <v>826</v>
      </c>
      <c r="D120" t="s">
        <v>12</v>
      </c>
      <c r="E120" t="s">
        <v>2053</v>
      </c>
      <c r="F120" t="s">
        <v>820</v>
      </c>
      <c r="G120" t="s">
        <v>2185</v>
      </c>
      <c r="H120" t="s">
        <v>13</v>
      </c>
      <c r="I120" s="31" t="s">
        <v>2215</v>
      </c>
      <c r="J120" t="s">
        <v>2253</v>
      </c>
    </row>
    <row r="121" spans="1:10" x14ac:dyDescent="0.25">
      <c r="A121">
        <v>11092</v>
      </c>
      <c r="B121">
        <f>VLOOKUP(A121,'Suc BD'!A:A,1,FALSE)</f>
        <v>11092</v>
      </c>
      <c r="C121" t="s">
        <v>1605</v>
      </c>
      <c r="D121" t="s">
        <v>16</v>
      </c>
      <c r="E121" t="s">
        <v>1606</v>
      </c>
      <c r="F121" t="s">
        <v>1607</v>
      </c>
      <c r="G121" t="s">
        <v>2204</v>
      </c>
      <c r="H121" t="s">
        <v>17</v>
      </c>
      <c r="I121" s="31" t="s">
        <v>2217</v>
      </c>
      <c r="J121" t="s">
        <v>2253</v>
      </c>
    </row>
    <row r="122" spans="1:10" x14ac:dyDescent="0.25">
      <c r="A122">
        <v>11904</v>
      </c>
      <c r="B122">
        <f>VLOOKUP(A122,'Suc BD'!A:A,1,FALSE)</f>
        <v>11904</v>
      </c>
      <c r="C122" t="s">
        <v>797</v>
      </c>
      <c r="D122" t="s">
        <v>12</v>
      </c>
      <c r="E122" t="s">
        <v>2050</v>
      </c>
      <c r="F122" t="s">
        <v>773</v>
      </c>
      <c r="G122" t="s">
        <v>2183</v>
      </c>
      <c r="H122" t="s">
        <v>13</v>
      </c>
      <c r="I122" s="31" t="s">
        <v>2215</v>
      </c>
      <c r="J122" t="s">
        <v>2253</v>
      </c>
    </row>
    <row r="123" spans="1:10" x14ac:dyDescent="0.25">
      <c r="A123">
        <v>11625</v>
      </c>
      <c r="B123">
        <f>VLOOKUP(A123,'Suc BD'!A:A,1,FALSE)</f>
        <v>11625</v>
      </c>
      <c r="C123" t="s">
        <v>187</v>
      </c>
      <c r="D123" t="s">
        <v>8</v>
      </c>
      <c r="E123" t="s">
        <v>2282</v>
      </c>
      <c r="F123" t="s">
        <v>158</v>
      </c>
      <c r="G123" t="s">
        <v>2167</v>
      </c>
      <c r="H123" t="s">
        <v>9</v>
      </c>
      <c r="I123" s="31" t="s">
        <v>2213</v>
      </c>
      <c r="J123" t="s">
        <v>2253</v>
      </c>
    </row>
    <row r="124" spans="1:10" x14ac:dyDescent="0.25">
      <c r="A124">
        <v>11059</v>
      </c>
      <c r="B124">
        <f>VLOOKUP(A124,'Suc BD'!A:A,1,FALSE)</f>
        <v>11059</v>
      </c>
      <c r="C124" t="s">
        <v>1391</v>
      </c>
      <c r="D124" t="s">
        <v>16</v>
      </c>
      <c r="E124" t="s">
        <v>1392</v>
      </c>
      <c r="F124" t="s">
        <v>1388</v>
      </c>
      <c r="G124" t="s">
        <v>2199</v>
      </c>
      <c r="H124" t="s">
        <v>17</v>
      </c>
      <c r="I124" s="31" t="s">
        <v>2217</v>
      </c>
      <c r="J124" t="s">
        <v>2253</v>
      </c>
    </row>
    <row r="125" spans="1:10" x14ac:dyDescent="0.25">
      <c r="A125">
        <v>11522</v>
      </c>
      <c r="B125">
        <f>VLOOKUP(A125,'Suc BD'!A:A,1,FALSE)</f>
        <v>11522</v>
      </c>
      <c r="C125" t="s">
        <v>984</v>
      </c>
      <c r="D125" t="s">
        <v>14</v>
      </c>
      <c r="E125" t="s">
        <v>985</v>
      </c>
      <c r="F125" t="s">
        <v>951</v>
      </c>
      <c r="G125" t="s">
        <v>2189</v>
      </c>
      <c r="H125" t="s">
        <v>15</v>
      </c>
      <c r="I125" s="31" t="s">
        <v>2216</v>
      </c>
      <c r="J125" t="s">
        <v>2253</v>
      </c>
    </row>
    <row r="126" spans="1:10" x14ac:dyDescent="0.25">
      <c r="A126">
        <v>11150</v>
      </c>
      <c r="B126">
        <f>VLOOKUP(A126,'Suc BD'!A:A,1,FALSE)</f>
        <v>11150</v>
      </c>
      <c r="C126" t="s">
        <v>755</v>
      </c>
      <c r="D126" t="s">
        <v>10</v>
      </c>
      <c r="E126" t="s">
        <v>2439</v>
      </c>
      <c r="F126" t="s">
        <v>555</v>
      </c>
      <c r="G126" t="s">
        <v>2182</v>
      </c>
      <c r="H126" t="s">
        <v>11</v>
      </c>
      <c r="I126" s="31" t="s">
        <v>2214</v>
      </c>
      <c r="J126" t="s">
        <v>2253</v>
      </c>
    </row>
    <row r="127" spans="1:10" x14ac:dyDescent="0.25">
      <c r="A127">
        <v>11206</v>
      </c>
      <c r="B127">
        <f>VLOOKUP(A127,'Suc BD'!A:A,1,FALSE)</f>
        <v>11206</v>
      </c>
      <c r="C127" t="s">
        <v>293</v>
      </c>
      <c r="D127" t="s">
        <v>8</v>
      </c>
      <c r="E127" t="s">
        <v>2311</v>
      </c>
      <c r="F127" t="s">
        <v>275</v>
      </c>
      <c r="G127" t="s">
        <v>2169</v>
      </c>
      <c r="H127" t="s">
        <v>9</v>
      </c>
      <c r="I127" s="31" t="s">
        <v>2213</v>
      </c>
      <c r="J127" t="s">
        <v>2253</v>
      </c>
    </row>
    <row r="128" spans="1:10" x14ac:dyDescent="0.25">
      <c r="A128">
        <v>11869</v>
      </c>
      <c r="B128">
        <f>VLOOKUP(A128,'Suc BD'!A:A,1,FALSE)</f>
        <v>11869</v>
      </c>
      <c r="C128" t="s">
        <v>152</v>
      </c>
      <c r="D128" t="s">
        <v>8</v>
      </c>
      <c r="E128" t="s">
        <v>2273</v>
      </c>
      <c r="F128" t="s">
        <v>111</v>
      </c>
      <c r="G128" t="s">
        <v>2166</v>
      </c>
      <c r="H128" t="s">
        <v>9</v>
      </c>
      <c r="I128" s="31" t="s">
        <v>2213</v>
      </c>
      <c r="J128" t="s">
        <v>2253</v>
      </c>
    </row>
    <row r="129" spans="1:10" x14ac:dyDescent="0.25">
      <c r="A129">
        <v>11313</v>
      </c>
      <c r="B129">
        <f>VLOOKUP(A129,'Suc BD'!A:A,1,FALSE)</f>
        <v>11313</v>
      </c>
      <c r="C129" t="s">
        <v>931</v>
      </c>
      <c r="D129" t="s">
        <v>12</v>
      </c>
      <c r="E129" t="s">
        <v>2072</v>
      </c>
      <c r="F129" t="s">
        <v>920</v>
      </c>
      <c r="G129" t="s">
        <v>2188</v>
      </c>
      <c r="H129" t="s">
        <v>13</v>
      </c>
      <c r="I129" s="31" t="s">
        <v>2215</v>
      </c>
      <c r="J129" t="s">
        <v>2253</v>
      </c>
    </row>
    <row r="130" spans="1:10" x14ac:dyDescent="0.25">
      <c r="A130">
        <v>11221</v>
      </c>
      <c r="B130">
        <f>VLOOKUP(A130,'Suc BD'!A:A,1,FALSE)</f>
        <v>11221</v>
      </c>
      <c r="C130" t="s">
        <v>1754</v>
      </c>
      <c r="D130" t="s">
        <v>18</v>
      </c>
      <c r="E130" t="s">
        <v>1755</v>
      </c>
      <c r="F130" t="s">
        <v>1849</v>
      </c>
      <c r="G130" t="s">
        <v>2208</v>
      </c>
      <c r="H130" t="s">
        <v>395</v>
      </c>
      <c r="I130" s="31" t="s">
        <v>99</v>
      </c>
      <c r="J130" t="s">
        <v>2253</v>
      </c>
    </row>
    <row r="131" spans="1:10" x14ac:dyDescent="0.25">
      <c r="A131">
        <v>11421</v>
      </c>
      <c r="B131">
        <f>VLOOKUP(A131,'Suc BD'!A:A,1,FALSE)</f>
        <v>11421</v>
      </c>
      <c r="C131" t="s">
        <v>789</v>
      </c>
      <c r="D131" t="s">
        <v>12</v>
      </c>
      <c r="E131" t="s">
        <v>2048</v>
      </c>
      <c r="F131" t="s">
        <v>773</v>
      </c>
      <c r="G131" t="s">
        <v>2183</v>
      </c>
      <c r="H131" t="s">
        <v>13</v>
      </c>
      <c r="I131" s="31" t="s">
        <v>2215</v>
      </c>
      <c r="J131" t="s">
        <v>2253</v>
      </c>
    </row>
    <row r="132" spans="1:10" x14ac:dyDescent="0.25">
      <c r="A132">
        <v>11242</v>
      </c>
      <c r="B132">
        <f>VLOOKUP(A132,'Suc BD'!A:A,1,FALSE)</f>
        <v>11242</v>
      </c>
      <c r="C132" t="s">
        <v>375</v>
      </c>
      <c r="D132" t="s">
        <v>8</v>
      </c>
      <c r="E132" t="s">
        <v>2339</v>
      </c>
      <c r="F132" t="s">
        <v>361</v>
      </c>
      <c r="G132" t="s">
        <v>2171</v>
      </c>
      <c r="H132" t="s">
        <v>9</v>
      </c>
      <c r="I132" s="31" t="s">
        <v>2213</v>
      </c>
      <c r="J132" t="s">
        <v>2253</v>
      </c>
    </row>
    <row r="133" spans="1:10" x14ac:dyDescent="0.25">
      <c r="A133">
        <v>11466</v>
      </c>
      <c r="B133">
        <f>VLOOKUP(A133,'Suc BD'!A:A,1,FALSE)</f>
        <v>11466</v>
      </c>
      <c r="C133" t="s">
        <v>1451</v>
      </c>
      <c r="D133" t="s">
        <v>16</v>
      </c>
      <c r="E133" t="s">
        <v>1452</v>
      </c>
      <c r="F133" t="s">
        <v>1431</v>
      </c>
      <c r="G133" t="s">
        <v>2200</v>
      </c>
      <c r="H133" t="s">
        <v>17</v>
      </c>
      <c r="I133" s="31" t="s">
        <v>2217</v>
      </c>
      <c r="J133" t="s">
        <v>2253</v>
      </c>
    </row>
    <row r="134" spans="1:10" x14ac:dyDescent="0.25">
      <c r="A134">
        <v>11763</v>
      </c>
      <c r="B134">
        <f>VLOOKUP(A134,'Suc BD'!A:A,1,FALSE)</f>
        <v>11763</v>
      </c>
      <c r="C134" t="s">
        <v>81</v>
      </c>
      <c r="D134" t="s">
        <v>8</v>
      </c>
      <c r="E134" t="s">
        <v>2260</v>
      </c>
      <c r="F134" t="s">
        <v>52</v>
      </c>
      <c r="G134" t="s">
        <v>2165</v>
      </c>
      <c r="H134" t="s">
        <v>9</v>
      </c>
      <c r="I134" s="31" t="s">
        <v>2213</v>
      </c>
      <c r="J134" t="s">
        <v>2253</v>
      </c>
    </row>
    <row r="135" spans="1:10" x14ac:dyDescent="0.25">
      <c r="A135">
        <v>11486</v>
      </c>
      <c r="B135">
        <f>VLOOKUP(A135,'Suc BD'!A:A,1,FALSE)</f>
        <v>11486</v>
      </c>
      <c r="C135" t="s">
        <v>1251</v>
      </c>
      <c r="D135" t="s">
        <v>14</v>
      </c>
      <c r="E135" t="s">
        <v>1252</v>
      </c>
      <c r="F135" t="s">
        <v>1238</v>
      </c>
      <c r="G135" t="s">
        <v>2195</v>
      </c>
      <c r="H135" t="s">
        <v>15</v>
      </c>
      <c r="I135" s="31" t="s">
        <v>2216</v>
      </c>
      <c r="J135" t="s">
        <v>2253</v>
      </c>
    </row>
    <row r="136" spans="1:10" x14ac:dyDescent="0.25">
      <c r="A136">
        <v>11871</v>
      </c>
      <c r="B136">
        <f>VLOOKUP(A136,'Suc BD'!A:A,1,FALSE)</f>
        <v>11871</v>
      </c>
      <c r="C136" t="s">
        <v>423</v>
      </c>
      <c r="D136" t="s">
        <v>8</v>
      </c>
      <c r="E136" t="s">
        <v>2302</v>
      </c>
      <c r="F136" t="s">
        <v>242</v>
      </c>
      <c r="G136" t="s">
        <v>2172</v>
      </c>
      <c r="H136" t="s">
        <v>9</v>
      </c>
      <c r="I136" s="31" t="s">
        <v>2213</v>
      </c>
      <c r="J136" t="s">
        <v>2253</v>
      </c>
    </row>
    <row r="137" spans="1:10" x14ac:dyDescent="0.25">
      <c r="A137">
        <v>12362</v>
      </c>
      <c r="B137">
        <f>VLOOKUP(A137,'Suc BD'!A:A,1,FALSE)</f>
        <v>12362</v>
      </c>
      <c r="C137" t="s">
        <v>2039</v>
      </c>
      <c r="D137" t="s">
        <v>10</v>
      </c>
      <c r="E137" t="s">
        <v>2444</v>
      </c>
      <c r="F137" t="s">
        <v>555</v>
      </c>
      <c r="G137" t="s">
        <v>2182</v>
      </c>
      <c r="H137" t="s">
        <v>11</v>
      </c>
      <c r="I137" s="31" t="s">
        <v>2214</v>
      </c>
      <c r="J137" t="s">
        <v>2253</v>
      </c>
    </row>
    <row r="138" spans="1:10" x14ac:dyDescent="0.25">
      <c r="A138">
        <v>11245</v>
      </c>
      <c r="B138">
        <f>VLOOKUP(A138,'Suc BD'!A:A,1,FALSE)</f>
        <v>11245</v>
      </c>
      <c r="C138" t="s">
        <v>1321</v>
      </c>
      <c r="D138" t="s">
        <v>14</v>
      </c>
      <c r="E138" t="s">
        <v>1322</v>
      </c>
      <c r="F138" t="s">
        <v>1317</v>
      </c>
      <c r="G138" t="s">
        <v>2197</v>
      </c>
      <c r="H138" t="s">
        <v>15</v>
      </c>
      <c r="I138" s="31" t="s">
        <v>2216</v>
      </c>
      <c r="J138" t="s">
        <v>2253</v>
      </c>
    </row>
    <row r="139" spans="1:10" x14ac:dyDescent="0.25">
      <c r="A139">
        <v>11458</v>
      </c>
      <c r="B139">
        <f>VLOOKUP(A139,'Suc BD'!A:A,1,FALSE)</f>
        <v>11458</v>
      </c>
      <c r="C139" t="s">
        <v>935</v>
      </c>
      <c r="D139" t="s">
        <v>12</v>
      </c>
      <c r="E139" t="s">
        <v>2073</v>
      </c>
      <c r="F139" t="s">
        <v>920</v>
      </c>
      <c r="G139" t="s">
        <v>2188</v>
      </c>
      <c r="H139" t="s">
        <v>13</v>
      </c>
      <c r="I139" s="31" t="s">
        <v>2215</v>
      </c>
      <c r="J139" t="s">
        <v>2253</v>
      </c>
    </row>
    <row r="140" spans="1:10" x14ac:dyDescent="0.25">
      <c r="A140">
        <v>11529</v>
      </c>
      <c r="B140">
        <f>VLOOKUP(A140,'Suc BD'!A:A,1,FALSE)</f>
        <v>11529</v>
      </c>
      <c r="C140" t="s">
        <v>2036</v>
      </c>
      <c r="D140" t="s">
        <v>10</v>
      </c>
      <c r="E140" t="s">
        <v>2441</v>
      </c>
      <c r="F140" t="s">
        <v>555</v>
      </c>
      <c r="G140" t="s">
        <v>2182</v>
      </c>
      <c r="H140" t="s">
        <v>11</v>
      </c>
      <c r="I140" s="31" t="s">
        <v>2214</v>
      </c>
      <c r="J140" t="s">
        <v>2253</v>
      </c>
    </row>
    <row r="141" spans="1:10" x14ac:dyDescent="0.25">
      <c r="A141">
        <v>11112</v>
      </c>
      <c r="B141">
        <f>VLOOKUP(A141,'Suc BD'!A:A,1,FALSE)</f>
        <v>11112</v>
      </c>
      <c r="C141" t="s">
        <v>1611</v>
      </c>
      <c r="D141" t="s">
        <v>16</v>
      </c>
      <c r="E141" t="s">
        <v>1959</v>
      </c>
      <c r="F141" t="s">
        <v>1607</v>
      </c>
      <c r="G141" t="s">
        <v>2204</v>
      </c>
      <c r="H141" t="s">
        <v>17</v>
      </c>
      <c r="I141" s="31" t="s">
        <v>2217</v>
      </c>
      <c r="J141" t="s">
        <v>2253</v>
      </c>
    </row>
    <row r="142" spans="1:10" x14ac:dyDescent="0.25">
      <c r="A142">
        <v>11021</v>
      </c>
      <c r="B142">
        <f>VLOOKUP(A142,'Suc BD'!A:A,1,FALSE)</f>
        <v>11021</v>
      </c>
      <c r="C142" t="s">
        <v>1978</v>
      </c>
      <c r="D142" t="s">
        <v>10</v>
      </c>
      <c r="E142" t="s">
        <v>2368</v>
      </c>
      <c r="F142" t="s">
        <v>745</v>
      </c>
      <c r="G142" t="s">
        <v>2175</v>
      </c>
      <c r="H142" t="s">
        <v>11</v>
      </c>
      <c r="I142" s="31" t="s">
        <v>2214</v>
      </c>
      <c r="J142" t="s">
        <v>2253</v>
      </c>
    </row>
    <row r="143" spans="1:10" x14ac:dyDescent="0.25">
      <c r="A143">
        <v>11412</v>
      </c>
      <c r="B143">
        <f>VLOOKUP(A143,'Suc BD'!A:A,1,FALSE)</f>
        <v>11412</v>
      </c>
      <c r="C143" t="s">
        <v>1377</v>
      </c>
      <c r="D143" t="s">
        <v>16</v>
      </c>
      <c r="E143" t="s">
        <v>1378</v>
      </c>
      <c r="F143" t="s">
        <v>1362</v>
      </c>
      <c r="G143" t="s">
        <v>2198</v>
      </c>
      <c r="H143" t="s">
        <v>17</v>
      </c>
      <c r="I143" s="31" t="s">
        <v>2217</v>
      </c>
      <c r="J143" t="s">
        <v>2253</v>
      </c>
    </row>
    <row r="144" spans="1:10" x14ac:dyDescent="0.25">
      <c r="A144">
        <v>11557</v>
      </c>
      <c r="B144">
        <f>VLOOKUP(A144,'Suc BD'!A:A,1,FALSE)</f>
        <v>11557</v>
      </c>
      <c r="C144" t="s">
        <v>1928</v>
      </c>
      <c r="D144" t="s">
        <v>18</v>
      </c>
      <c r="E144" t="s">
        <v>1929</v>
      </c>
      <c r="F144" t="s">
        <v>1908</v>
      </c>
      <c r="G144" t="s">
        <v>2209</v>
      </c>
      <c r="H144" t="s">
        <v>395</v>
      </c>
      <c r="I144" s="31" t="s">
        <v>99</v>
      </c>
      <c r="J144" t="s">
        <v>2253</v>
      </c>
    </row>
    <row r="145" spans="1:10" x14ac:dyDescent="0.25">
      <c r="A145">
        <v>11752</v>
      </c>
      <c r="B145">
        <f>VLOOKUP(A145,'Suc BD'!A:A,1,FALSE)</f>
        <v>11752</v>
      </c>
      <c r="C145" t="s">
        <v>71</v>
      </c>
      <c r="D145" t="s">
        <v>8</v>
      </c>
      <c r="E145" t="s">
        <v>2258</v>
      </c>
      <c r="F145" t="s">
        <v>52</v>
      </c>
      <c r="G145" t="s">
        <v>2165</v>
      </c>
      <c r="H145" t="s">
        <v>9</v>
      </c>
      <c r="I145" s="31" t="s">
        <v>2213</v>
      </c>
      <c r="J145" t="s">
        <v>2253</v>
      </c>
    </row>
    <row r="146" spans="1:10" x14ac:dyDescent="0.25">
      <c r="A146">
        <v>11464</v>
      </c>
      <c r="B146">
        <f>VLOOKUP(A146,'Suc BD'!A:A,1,FALSE)</f>
        <v>11464</v>
      </c>
      <c r="C146" t="s">
        <v>1829</v>
      </c>
      <c r="D146" t="s">
        <v>18</v>
      </c>
      <c r="E146" t="s">
        <v>1830</v>
      </c>
      <c r="F146" t="s">
        <v>1708</v>
      </c>
      <c r="G146" t="s">
        <v>2206</v>
      </c>
      <c r="H146" t="s">
        <v>395</v>
      </c>
      <c r="I146" s="31" t="s">
        <v>99</v>
      </c>
      <c r="J146" t="s">
        <v>2253</v>
      </c>
    </row>
    <row r="147" spans="1:10" x14ac:dyDescent="0.25">
      <c r="A147">
        <v>11402</v>
      </c>
      <c r="B147">
        <f>VLOOKUP(A147,'Suc BD'!A:A,1,FALSE)</f>
        <v>11402</v>
      </c>
      <c r="C147" t="s">
        <v>974</v>
      </c>
      <c r="D147" t="s">
        <v>14</v>
      </c>
      <c r="E147" t="s">
        <v>975</v>
      </c>
      <c r="F147" t="s">
        <v>951</v>
      </c>
      <c r="G147" t="s">
        <v>2189</v>
      </c>
      <c r="H147" t="s">
        <v>15</v>
      </c>
      <c r="I147" s="31" t="s">
        <v>2216</v>
      </c>
      <c r="J147" t="s">
        <v>2253</v>
      </c>
    </row>
    <row r="148" spans="1:10" x14ac:dyDescent="0.25">
      <c r="A148">
        <v>11473</v>
      </c>
      <c r="B148">
        <f>VLOOKUP(A148,'Suc BD'!A:A,1,FALSE)</f>
        <v>11473</v>
      </c>
      <c r="C148" t="s">
        <v>1773</v>
      </c>
      <c r="D148" t="s">
        <v>18</v>
      </c>
      <c r="E148" t="s">
        <v>1774</v>
      </c>
      <c r="F148" t="s">
        <v>1849</v>
      </c>
      <c r="G148" t="s">
        <v>2208</v>
      </c>
      <c r="H148" t="s">
        <v>395</v>
      </c>
      <c r="I148" s="31" t="s">
        <v>99</v>
      </c>
      <c r="J148" t="s">
        <v>2253</v>
      </c>
    </row>
    <row r="149" spans="1:10" x14ac:dyDescent="0.25">
      <c r="A149">
        <v>12300</v>
      </c>
      <c r="B149">
        <f>VLOOKUP(A149,'Suc BD'!A:A,1,FALSE)</f>
        <v>12300</v>
      </c>
      <c r="C149" t="s">
        <v>1990</v>
      </c>
      <c r="D149" t="s">
        <v>10</v>
      </c>
      <c r="E149" t="s">
        <v>2384</v>
      </c>
      <c r="F149" t="s">
        <v>618</v>
      </c>
      <c r="G149" t="s">
        <v>2176</v>
      </c>
      <c r="H149" t="s">
        <v>11</v>
      </c>
      <c r="I149" s="31" t="s">
        <v>2214</v>
      </c>
      <c r="J149" t="s">
        <v>2253</v>
      </c>
    </row>
    <row r="150" spans="1:10" x14ac:dyDescent="0.25">
      <c r="A150">
        <v>11055</v>
      </c>
      <c r="B150">
        <f>VLOOKUP(A150,'Suc BD'!A:A,1,FALSE)</f>
        <v>11055</v>
      </c>
      <c r="C150" t="s">
        <v>315</v>
      </c>
      <c r="D150" t="s">
        <v>8</v>
      </c>
      <c r="E150" t="s">
        <v>2318</v>
      </c>
      <c r="F150" t="s">
        <v>316</v>
      </c>
      <c r="G150" t="s">
        <v>2170</v>
      </c>
      <c r="H150" t="s">
        <v>9</v>
      </c>
      <c r="I150" s="31" t="s">
        <v>2213</v>
      </c>
      <c r="J150" t="s">
        <v>2253</v>
      </c>
    </row>
    <row r="151" spans="1:10" x14ac:dyDescent="0.25">
      <c r="A151">
        <v>12365</v>
      </c>
      <c r="B151">
        <f>VLOOKUP(A151,'Suc BD'!A:A,1,FALSE)</f>
        <v>12365</v>
      </c>
      <c r="C151" t="s">
        <v>1945</v>
      </c>
      <c r="D151" t="s">
        <v>10</v>
      </c>
      <c r="E151" t="s">
        <v>2374</v>
      </c>
      <c r="F151" t="s">
        <v>745</v>
      </c>
      <c r="G151" t="s">
        <v>2175</v>
      </c>
      <c r="H151" t="s">
        <v>11</v>
      </c>
      <c r="I151" s="31" t="s">
        <v>2214</v>
      </c>
      <c r="J151" t="s">
        <v>2253</v>
      </c>
    </row>
    <row r="152" spans="1:10" x14ac:dyDescent="0.25">
      <c r="A152">
        <v>12383</v>
      </c>
      <c r="B152" t="e">
        <f>VLOOKUP(A152,'Suc BD'!A:A,1,FALSE)</f>
        <v>#N/A</v>
      </c>
      <c r="C152" t="s">
        <v>2102</v>
      </c>
      <c r="D152" t="s">
        <v>16</v>
      </c>
      <c r="E152" t="s">
        <v>2142</v>
      </c>
      <c r="F152" t="s">
        <v>1528</v>
      </c>
      <c r="G152" t="s">
        <v>2202</v>
      </c>
      <c r="H152" t="s">
        <v>17</v>
      </c>
      <c r="I152" s="31" t="s">
        <v>2217</v>
      </c>
      <c r="J152" t="s">
        <v>2253</v>
      </c>
    </row>
    <row r="153" spans="1:10" x14ac:dyDescent="0.25">
      <c r="A153">
        <v>11201</v>
      </c>
      <c r="B153">
        <f>VLOOKUP(A153,'Suc BD'!A:A,1,FALSE)</f>
        <v>11201</v>
      </c>
      <c r="C153" t="s">
        <v>808</v>
      </c>
      <c r="D153" t="s">
        <v>12</v>
      </c>
      <c r="E153" t="s">
        <v>2051</v>
      </c>
      <c r="F153" t="s">
        <v>802</v>
      </c>
      <c r="G153" t="s">
        <v>2184</v>
      </c>
      <c r="H153" t="s">
        <v>13</v>
      </c>
      <c r="I153" s="31" t="s">
        <v>2215</v>
      </c>
      <c r="J153" t="s">
        <v>2253</v>
      </c>
    </row>
    <row r="154" spans="1:10" x14ac:dyDescent="0.25">
      <c r="A154">
        <v>11977</v>
      </c>
      <c r="B154">
        <f>VLOOKUP(A154,'Suc BD'!A:A,1,FALSE)</f>
        <v>11977</v>
      </c>
      <c r="C154" t="s">
        <v>1999</v>
      </c>
      <c r="D154" t="s">
        <v>10</v>
      </c>
      <c r="E154" t="s">
        <v>2394</v>
      </c>
      <c r="F154" t="s">
        <v>588</v>
      </c>
      <c r="G154" t="s">
        <v>2177</v>
      </c>
      <c r="H154" t="s">
        <v>11</v>
      </c>
      <c r="I154" s="31" t="s">
        <v>2214</v>
      </c>
      <c r="J154" t="s">
        <v>2253</v>
      </c>
    </row>
    <row r="155" spans="1:10" x14ac:dyDescent="0.25">
      <c r="A155">
        <v>12336</v>
      </c>
      <c r="B155">
        <f>VLOOKUP(A155,'Suc BD'!A:A,1,FALSE)</f>
        <v>12336</v>
      </c>
      <c r="C155" t="s">
        <v>1651</v>
      </c>
      <c r="D155" t="s">
        <v>16</v>
      </c>
      <c r="E155" t="s">
        <v>2119</v>
      </c>
      <c r="F155" t="s">
        <v>1607</v>
      </c>
      <c r="G155" t="s">
        <v>2204</v>
      </c>
      <c r="H155" t="s">
        <v>17</v>
      </c>
      <c r="I155" s="31" t="s">
        <v>2217</v>
      </c>
      <c r="J155" t="s">
        <v>2253</v>
      </c>
    </row>
    <row r="156" spans="1:10" x14ac:dyDescent="0.25">
      <c r="A156">
        <v>11075</v>
      </c>
      <c r="B156">
        <f>VLOOKUP(A156,'Suc BD'!A:A,1,FALSE)</f>
        <v>11075</v>
      </c>
      <c r="C156" t="s">
        <v>109</v>
      </c>
      <c r="D156" t="s">
        <v>8</v>
      </c>
      <c r="E156" t="s">
        <v>2264</v>
      </c>
      <c r="F156" t="s">
        <v>111</v>
      </c>
      <c r="G156" t="s">
        <v>2166</v>
      </c>
      <c r="H156" t="s">
        <v>9</v>
      </c>
      <c r="I156" s="31" t="s">
        <v>2213</v>
      </c>
      <c r="J156" t="s">
        <v>2253</v>
      </c>
    </row>
    <row r="157" spans="1:10" x14ac:dyDescent="0.25">
      <c r="A157">
        <v>11226</v>
      </c>
      <c r="B157">
        <f>VLOOKUP(A157,'Suc BD'!A:A,1,FALSE)</f>
        <v>11226</v>
      </c>
      <c r="C157" t="s">
        <v>1536</v>
      </c>
      <c r="D157" t="s">
        <v>16</v>
      </c>
      <c r="E157" t="s">
        <v>1537</v>
      </c>
      <c r="F157" t="s">
        <v>1528</v>
      </c>
      <c r="G157" t="s">
        <v>2202</v>
      </c>
      <c r="H157" t="s">
        <v>17</v>
      </c>
      <c r="I157" s="31" t="s">
        <v>2217</v>
      </c>
      <c r="J157" t="s">
        <v>2253</v>
      </c>
    </row>
    <row r="158" spans="1:10" x14ac:dyDescent="0.25">
      <c r="A158">
        <v>11518</v>
      </c>
      <c r="B158">
        <f>VLOOKUP(A158,'Suc BD'!A:A,1,FALSE)</f>
        <v>11518</v>
      </c>
      <c r="C158" t="s">
        <v>1875</v>
      </c>
      <c r="D158" t="s">
        <v>18</v>
      </c>
      <c r="E158" t="s">
        <v>1876</v>
      </c>
      <c r="F158" t="s">
        <v>1806</v>
      </c>
      <c r="G158" t="s">
        <v>2207</v>
      </c>
      <c r="H158" t="s">
        <v>395</v>
      </c>
      <c r="I158" s="31" t="s">
        <v>99</v>
      </c>
      <c r="J158" t="s">
        <v>2253</v>
      </c>
    </row>
    <row r="159" spans="1:10" x14ac:dyDescent="0.25">
      <c r="A159">
        <v>11149</v>
      </c>
      <c r="B159">
        <f>VLOOKUP(A159,'Suc BD'!A:A,1,FALSE)</f>
        <v>11149</v>
      </c>
      <c r="C159" t="s">
        <v>1971</v>
      </c>
      <c r="D159" t="s">
        <v>10</v>
      </c>
      <c r="E159" t="s">
        <v>2359</v>
      </c>
      <c r="F159" t="s">
        <v>489</v>
      </c>
      <c r="G159" t="s">
        <v>2174</v>
      </c>
      <c r="H159" t="s">
        <v>11</v>
      </c>
      <c r="I159" s="31" t="s">
        <v>2214</v>
      </c>
      <c r="J159" t="s">
        <v>2253</v>
      </c>
    </row>
    <row r="160" spans="1:10" x14ac:dyDescent="0.25">
      <c r="A160">
        <v>12335</v>
      </c>
      <c r="B160">
        <f>VLOOKUP(A160,'Suc BD'!A:A,1,FALSE)</f>
        <v>12335</v>
      </c>
      <c r="C160" t="s">
        <v>916</v>
      </c>
      <c r="D160" t="s">
        <v>12</v>
      </c>
      <c r="E160" t="s">
        <v>2068</v>
      </c>
      <c r="F160" t="s">
        <v>897</v>
      </c>
      <c r="G160" t="s">
        <v>2187</v>
      </c>
      <c r="H160" t="s">
        <v>13</v>
      </c>
      <c r="I160" s="31" t="s">
        <v>2215</v>
      </c>
      <c r="J160" t="s">
        <v>2253</v>
      </c>
    </row>
    <row r="161" spans="1:10" x14ac:dyDescent="0.25">
      <c r="A161">
        <v>11057</v>
      </c>
      <c r="B161">
        <f>VLOOKUP(A161,'Suc BD'!A:A,1,FALSE)</f>
        <v>11057</v>
      </c>
      <c r="C161" t="s">
        <v>287</v>
      </c>
      <c r="D161" t="s">
        <v>8</v>
      </c>
      <c r="E161" t="s">
        <v>2309</v>
      </c>
      <c r="F161" t="s">
        <v>275</v>
      </c>
      <c r="G161" t="s">
        <v>2169</v>
      </c>
      <c r="H161" t="s">
        <v>9</v>
      </c>
      <c r="I161" s="31" t="s">
        <v>2213</v>
      </c>
      <c r="J161" t="s">
        <v>2253</v>
      </c>
    </row>
    <row r="162" spans="1:10" x14ac:dyDescent="0.25">
      <c r="A162">
        <v>11086</v>
      </c>
      <c r="B162">
        <f>VLOOKUP(A162,'Suc BD'!A:A,1,FALSE)</f>
        <v>11086</v>
      </c>
      <c r="C162" t="s">
        <v>499</v>
      </c>
      <c r="D162" t="s">
        <v>10</v>
      </c>
      <c r="E162" t="s">
        <v>2358</v>
      </c>
      <c r="F162" t="s">
        <v>489</v>
      </c>
      <c r="G162" t="s">
        <v>2174</v>
      </c>
      <c r="H162" t="s">
        <v>11</v>
      </c>
      <c r="I162" s="31" t="s">
        <v>2214</v>
      </c>
      <c r="J162" t="s">
        <v>2253</v>
      </c>
    </row>
    <row r="163" spans="1:10" x14ac:dyDescent="0.25">
      <c r="A163">
        <v>11900</v>
      </c>
      <c r="B163">
        <f>VLOOKUP(A163,'Suc BD'!A:A,1,FALSE)</f>
        <v>11900</v>
      </c>
      <c r="C163" t="s">
        <v>1194</v>
      </c>
      <c r="D163" t="s">
        <v>14</v>
      </c>
      <c r="E163" t="s">
        <v>1195</v>
      </c>
      <c r="F163" t="s">
        <v>1164</v>
      </c>
      <c r="G163" t="s">
        <v>2193</v>
      </c>
      <c r="H163" t="s">
        <v>15</v>
      </c>
      <c r="I163" s="31" t="s">
        <v>2216</v>
      </c>
      <c r="J163" t="s">
        <v>2253</v>
      </c>
    </row>
    <row r="164" spans="1:10" x14ac:dyDescent="0.25">
      <c r="A164">
        <v>11084</v>
      </c>
      <c r="B164">
        <f>VLOOKUP(A164,'Suc BD'!A:A,1,FALSE)</f>
        <v>11084</v>
      </c>
      <c r="C164" t="s">
        <v>1804</v>
      </c>
      <c r="D164" t="s">
        <v>18</v>
      </c>
      <c r="E164" t="s">
        <v>1839</v>
      </c>
      <c r="F164" t="s">
        <v>1908</v>
      </c>
      <c r="G164" t="s">
        <v>2209</v>
      </c>
      <c r="H164" t="s">
        <v>395</v>
      </c>
      <c r="I164" s="31" t="s">
        <v>99</v>
      </c>
      <c r="J164" t="s">
        <v>2253</v>
      </c>
    </row>
    <row r="165" spans="1:10" x14ac:dyDescent="0.25">
      <c r="A165">
        <v>12344</v>
      </c>
      <c r="B165">
        <f>VLOOKUP(A165,'Suc BD'!A:A,1,FALSE)</f>
        <v>12344</v>
      </c>
      <c r="C165" t="s">
        <v>484</v>
      </c>
      <c r="D165" t="s">
        <v>8</v>
      </c>
      <c r="E165" t="s">
        <v>2355</v>
      </c>
      <c r="F165" t="s">
        <v>440</v>
      </c>
      <c r="G165" t="s">
        <v>2173</v>
      </c>
      <c r="H165" t="s">
        <v>9</v>
      </c>
      <c r="I165" s="31" t="s">
        <v>2213</v>
      </c>
      <c r="J165" t="s">
        <v>2253</v>
      </c>
    </row>
    <row r="166" spans="1:10" x14ac:dyDescent="0.25">
      <c r="A166">
        <v>11012</v>
      </c>
      <c r="B166">
        <f>VLOOKUP(A166,'Suc BD'!A:A,1,FALSE)</f>
        <v>11012</v>
      </c>
      <c r="C166" t="s">
        <v>89</v>
      </c>
      <c r="D166" t="s">
        <v>8</v>
      </c>
      <c r="E166" t="s">
        <v>2295</v>
      </c>
      <c r="F166" t="s">
        <v>242</v>
      </c>
      <c r="G166" t="s">
        <v>2172</v>
      </c>
      <c r="H166" t="s">
        <v>9</v>
      </c>
      <c r="I166" s="31" t="s">
        <v>2213</v>
      </c>
      <c r="J166" t="s">
        <v>2253</v>
      </c>
    </row>
    <row r="167" spans="1:10" x14ac:dyDescent="0.25">
      <c r="A167">
        <v>11419</v>
      </c>
      <c r="B167">
        <f>VLOOKUP(A167,'Suc BD'!A:A,1,FALSE)</f>
        <v>11419</v>
      </c>
      <c r="C167" t="s">
        <v>2028</v>
      </c>
      <c r="D167" t="s">
        <v>10</v>
      </c>
      <c r="E167" t="s">
        <v>2431</v>
      </c>
      <c r="F167" t="s">
        <v>714</v>
      </c>
      <c r="G167" t="s">
        <v>2181</v>
      </c>
      <c r="H167" t="s">
        <v>11</v>
      </c>
      <c r="I167" s="31" t="s">
        <v>2214</v>
      </c>
      <c r="J167" t="s">
        <v>2253</v>
      </c>
    </row>
    <row r="168" spans="1:10" x14ac:dyDescent="0.25">
      <c r="A168">
        <v>11451</v>
      </c>
      <c r="B168">
        <f>VLOOKUP(A168,'Suc BD'!A:A,1,FALSE)</f>
        <v>11451</v>
      </c>
      <c r="C168" t="s">
        <v>1626</v>
      </c>
      <c r="D168" t="s">
        <v>16</v>
      </c>
      <c r="E168" t="s">
        <v>1960</v>
      </c>
      <c r="F168" t="s">
        <v>1607</v>
      </c>
      <c r="G168" t="s">
        <v>2204</v>
      </c>
      <c r="H168" t="s">
        <v>17</v>
      </c>
      <c r="I168" s="31" t="s">
        <v>2217</v>
      </c>
      <c r="J168" t="s">
        <v>2253</v>
      </c>
    </row>
    <row r="169" spans="1:10" x14ac:dyDescent="0.25">
      <c r="A169">
        <v>11888</v>
      </c>
      <c r="B169">
        <f>VLOOKUP(A169,'Suc BD'!A:A,1,FALSE)</f>
        <v>11888</v>
      </c>
      <c r="C169" t="s">
        <v>815</v>
      </c>
      <c r="D169" t="s">
        <v>12</v>
      </c>
      <c r="E169" t="s">
        <v>2105</v>
      </c>
      <c r="F169" t="s">
        <v>802</v>
      </c>
      <c r="G169" t="s">
        <v>2184</v>
      </c>
      <c r="H169" t="s">
        <v>13</v>
      </c>
      <c r="I169" s="31" t="s">
        <v>2215</v>
      </c>
      <c r="J169" t="s">
        <v>2253</v>
      </c>
    </row>
    <row r="170" spans="1:10" x14ac:dyDescent="0.25">
      <c r="A170">
        <v>12308</v>
      </c>
      <c r="B170">
        <f>VLOOKUP(A170,'Suc BD'!A:A,1,FALSE)</f>
        <v>12308</v>
      </c>
      <c r="C170" t="s">
        <v>352</v>
      </c>
      <c r="D170" t="s">
        <v>8</v>
      </c>
      <c r="E170" t="s">
        <v>2327</v>
      </c>
      <c r="F170" t="s">
        <v>316</v>
      </c>
      <c r="G170" t="s">
        <v>2170</v>
      </c>
      <c r="H170" t="s">
        <v>9</v>
      </c>
      <c r="I170" s="31" t="s">
        <v>2213</v>
      </c>
      <c r="J170" t="s">
        <v>2253</v>
      </c>
    </row>
    <row r="171" spans="1:10" x14ac:dyDescent="0.25">
      <c r="A171">
        <v>11047</v>
      </c>
      <c r="B171">
        <f>VLOOKUP(A171,'Suc BD'!A:A,1,FALSE)</f>
        <v>11047</v>
      </c>
      <c r="C171" t="s">
        <v>858</v>
      </c>
      <c r="D171" t="s">
        <v>12</v>
      </c>
      <c r="E171" t="s">
        <v>2107</v>
      </c>
      <c r="F171" t="s">
        <v>859</v>
      </c>
      <c r="G171" t="s">
        <v>2186</v>
      </c>
      <c r="H171" t="s">
        <v>13</v>
      </c>
      <c r="I171" s="31" t="s">
        <v>2215</v>
      </c>
      <c r="J171" t="s">
        <v>2253</v>
      </c>
    </row>
    <row r="172" spans="1:10" x14ac:dyDescent="0.25">
      <c r="A172">
        <v>11272</v>
      </c>
      <c r="B172">
        <f>VLOOKUP(A172,'Suc BD'!A:A,1,FALSE)</f>
        <v>11272</v>
      </c>
      <c r="C172" t="s">
        <v>1972</v>
      </c>
      <c r="D172" t="s">
        <v>10</v>
      </c>
      <c r="E172" t="s">
        <v>2361</v>
      </c>
      <c r="F172" t="s">
        <v>489</v>
      </c>
      <c r="G172" t="s">
        <v>2174</v>
      </c>
      <c r="H172" t="s">
        <v>11</v>
      </c>
      <c r="I172" s="31" t="s">
        <v>2214</v>
      </c>
      <c r="J172" t="s">
        <v>2253</v>
      </c>
    </row>
    <row r="173" spans="1:10" x14ac:dyDescent="0.25">
      <c r="A173">
        <v>11634</v>
      </c>
      <c r="B173">
        <f>VLOOKUP(A173,'Suc BD'!A:A,1,FALSE)</f>
        <v>11634</v>
      </c>
      <c r="C173" t="s">
        <v>1997</v>
      </c>
      <c r="D173" t="s">
        <v>10</v>
      </c>
      <c r="E173" t="s">
        <v>2392</v>
      </c>
      <c r="F173" t="s">
        <v>588</v>
      </c>
      <c r="G173" t="s">
        <v>2177</v>
      </c>
      <c r="H173" t="s">
        <v>11</v>
      </c>
      <c r="I173" s="31" t="s">
        <v>2214</v>
      </c>
      <c r="J173" t="s">
        <v>2253</v>
      </c>
    </row>
    <row r="174" spans="1:10" x14ac:dyDescent="0.25">
      <c r="A174">
        <v>11646</v>
      </c>
      <c r="B174">
        <f>VLOOKUP(A174,'Suc BD'!A:A,1,FALSE)</f>
        <v>11646</v>
      </c>
      <c r="C174" t="s">
        <v>1465</v>
      </c>
      <c r="D174" t="s">
        <v>16</v>
      </c>
      <c r="E174" t="s">
        <v>1466</v>
      </c>
      <c r="F174" t="s">
        <v>1431</v>
      </c>
      <c r="G174" t="s">
        <v>2200</v>
      </c>
      <c r="H174" t="s">
        <v>17</v>
      </c>
      <c r="I174" s="31" t="s">
        <v>2217</v>
      </c>
      <c r="J174" t="s">
        <v>2253</v>
      </c>
    </row>
    <row r="175" spans="1:10" x14ac:dyDescent="0.25">
      <c r="A175">
        <v>12329</v>
      </c>
      <c r="B175">
        <f>VLOOKUP(A175,'Suc BD'!A:A,1,FALSE)</f>
        <v>12329</v>
      </c>
      <c r="C175" t="s">
        <v>1427</v>
      </c>
      <c r="D175" t="s">
        <v>16</v>
      </c>
      <c r="E175" t="s">
        <v>1426</v>
      </c>
      <c r="F175" t="s">
        <v>1388</v>
      </c>
      <c r="G175" t="s">
        <v>2199</v>
      </c>
      <c r="H175" t="s">
        <v>17</v>
      </c>
      <c r="I175" s="31" t="s">
        <v>2217</v>
      </c>
      <c r="J175" t="s">
        <v>2253</v>
      </c>
    </row>
    <row r="176" spans="1:10" x14ac:dyDescent="0.25">
      <c r="A176">
        <v>11345</v>
      </c>
      <c r="B176">
        <f>VLOOKUP(A176,'Suc BD'!A:A,1,FALSE)</f>
        <v>11345</v>
      </c>
      <c r="C176" t="s">
        <v>416</v>
      </c>
      <c r="D176" t="s">
        <v>8</v>
      </c>
      <c r="E176" t="s">
        <v>2300</v>
      </c>
      <c r="F176" t="s">
        <v>242</v>
      </c>
      <c r="G176" t="s">
        <v>2172</v>
      </c>
      <c r="H176" t="s">
        <v>9</v>
      </c>
      <c r="I176" s="31" t="s">
        <v>2213</v>
      </c>
      <c r="J176" t="s">
        <v>2253</v>
      </c>
    </row>
    <row r="177" spans="1:10" x14ac:dyDescent="0.25">
      <c r="A177">
        <v>11640</v>
      </c>
      <c r="B177">
        <f>VLOOKUP(A177,'Suc BD'!A:A,1,FALSE)</f>
        <v>11640</v>
      </c>
      <c r="C177" t="s">
        <v>1634</v>
      </c>
      <c r="D177" t="s">
        <v>16</v>
      </c>
      <c r="E177" t="s">
        <v>1635</v>
      </c>
      <c r="F177" t="s">
        <v>1607</v>
      </c>
      <c r="G177" t="s">
        <v>2204</v>
      </c>
      <c r="H177" t="s">
        <v>17</v>
      </c>
      <c r="I177" s="31" t="s">
        <v>2217</v>
      </c>
      <c r="J177" t="s">
        <v>2253</v>
      </c>
    </row>
    <row r="178" spans="1:10" x14ac:dyDescent="0.25">
      <c r="A178">
        <v>11169</v>
      </c>
      <c r="B178">
        <f>VLOOKUP(A178,'Suc BD'!A:A,1,FALSE)</f>
        <v>11169</v>
      </c>
      <c r="C178" t="s">
        <v>115</v>
      </c>
      <c r="D178" t="s">
        <v>8</v>
      </c>
      <c r="E178" t="s">
        <v>2265</v>
      </c>
      <c r="F178" t="s">
        <v>111</v>
      </c>
      <c r="G178" t="s">
        <v>2166</v>
      </c>
      <c r="H178" t="s">
        <v>9</v>
      </c>
      <c r="I178" s="31" t="s">
        <v>2213</v>
      </c>
      <c r="J178" t="s">
        <v>2253</v>
      </c>
    </row>
    <row r="179" spans="1:10" x14ac:dyDescent="0.25">
      <c r="A179">
        <v>11005</v>
      </c>
      <c r="B179">
        <f>VLOOKUP(A179,'Suc BD'!A:A,1,FALSE)</f>
        <v>11005</v>
      </c>
      <c r="C179" t="s">
        <v>1969</v>
      </c>
      <c r="D179" t="s">
        <v>10</v>
      </c>
      <c r="E179" t="s">
        <v>2356</v>
      </c>
      <c r="F179" t="s">
        <v>489</v>
      </c>
      <c r="G179" t="s">
        <v>2174</v>
      </c>
      <c r="H179" t="s">
        <v>11</v>
      </c>
      <c r="I179" s="31" t="s">
        <v>2214</v>
      </c>
      <c r="J179" t="s">
        <v>2253</v>
      </c>
    </row>
    <row r="180" spans="1:10" x14ac:dyDescent="0.25">
      <c r="A180">
        <v>11321</v>
      </c>
      <c r="B180">
        <f>VLOOKUP(A180,'Suc BD'!A:A,1,FALSE)</f>
        <v>11321</v>
      </c>
      <c r="C180" t="s">
        <v>1178</v>
      </c>
      <c r="D180" t="s">
        <v>14</v>
      </c>
      <c r="E180" t="s">
        <v>1955</v>
      </c>
      <c r="F180" t="s">
        <v>1164</v>
      </c>
      <c r="G180" t="s">
        <v>2193</v>
      </c>
      <c r="H180" t="s">
        <v>15</v>
      </c>
      <c r="I180" s="31" t="s">
        <v>2216</v>
      </c>
      <c r="J180" t="s">
        <v>2253</v>
      </c>
    </row>
    <row r="181" spans="1:10" x14ac:dyDescent="0.25">
      <c r="A181">
        <v>11296</v>
      </c>
      <c r="B181">
        <f>VLOOKUP(A181,'Suc BD'!A:A,1,FALSE)</f>
        <v>11296</v>
      </c>
      <c r="C181" t="s">
        <v>1331</v>
      </c>
      <c r="D181" t="s">
        <v>14</v>
      </c>
      <c r="E181" t="s">
        <v>1332</v>
      </c>
      <c r="F181" t="s">
        <v>1317</v>
      </c>
      <c r="G181" t="s">
        <v>2197</v>
      </c>
      <c r="H181" t="s">
        <v>15</v>
      </c>
      <c r="I181" s="31" t="s">
        <v>2216</v>
      </c>
      <c r="J181" t="s">
        <v>2253</v>
      </c>
    </row>
    <row r="182" spans="1:10" x14ac:dyDescent="0.25">
      <c r="A182">
        <v>12376</v>
      </c>
      <c r="B182" t="e">
        <f>VLOOKUP(A182,'Suc BD'!A:A,1,FALSE)</f>
        <v>#N/A</v>
      </c>
      <c r="C182" t="s">
        <v>2093</v>
      </c>
      <c r="D182" t="s">
        <v>10</v>
      </c>
      <c r="E182" t="s">
        <v>2385</v>
      </c>
      <c r="F182" t="s">
        <v>618</v>
      </c>
      <c r="G182" t="s">
        <v>2176</v>
      </c>
      <c r="H182" t="s">
        <v>11</v>
      </c>
      <c r="I182" s="31" t="s">
        <v>2214</v>
      </c>
      <c r="J182" t="s">
        <v>2253</v>
      </c>
    </row>
    <row r="183" spans="1:10" x14ac:dyDescent="0.25">
      <c r="A183">
        <v>11389</v>
      </c>
      <c r="B183">
        <f>VLOOKUP(A183,'Suc BD'!A:A,1,FALSE)</f>
        <v>11389</v>
      </c>
      <c r="C183" t="s">
        <v>960</v>
      </c>
      <c r="D183" t="s">
        <v>14</v>
      </c>
      <c r="E183" t="s">
        <v>2451</v>
      </c>
      <c r="F183" t="s">
        <v>951</v>
      </c>
      <c r="G183" t="s">
        <v>2189</v>
      </c>
      <c r="H183" t="s">
        <v>15</v>
      </c>
      <c r="I183" s="31" t="s">
        <v>2216</v>
      </c>
      <c r="J183" t="s">
        <v>2253</v>
      </c>
    </row>
    <row r="184" spans="1:10" x14ac:dyDescent="0.25">
      <c r="A184">
        <v>11341</v>
      </c>
      <c r="B184">
        <f>VLOOKUP(A184,'Suc BD'!A:A,1,FALSE)</f>
        <v>11341</v>
      </c>
      <c r="C184" t="s">
        <v>835</v>
      </c>
      <c r="D184" t="s">
        <v>12</v>
      </c>
      <c r="E184" t="s">
        <v>2055</v>
      </c>
      <c r="F184" t="s">
        <v>820</v>
      </c>
      <c r="G184" t="s">
        <v>2185</v>
      </c>
      <c r="H184" t="s">
        <v>13</v>
      </c>
      <c r="I184" s="31" t="s">
        <v>2215</v>
      </c>
      <c r="J184" t="s">
        <v>2253</v>
      </c>
    </row>
    <row r="185" spans="1:10" x14ac:dyDescent="0.25">
      <c r="A185">
        <v>11845</v>
      </c>
      <c r="B185">
        <f>VLOOKUP(A185,'Suc BD'!A:A,1,FALSE)</f>
        <v>11845</v>
      </c>
      <c r="C185" t="s">
        <v>1596</v>
      </c>
      <c r="D185" t="s">
        <v>16</v>
      </c>
      <c r="E185" t="s">
        <v>1597</v>
      </c>
      <c r="F185" t="s">
        <v>1568</v>
      </c>
      <c r="G185" t="s">
        <v>2203</v>
      </c>
      <c r="H185" t="s">
        <v>17</v>
      </c>
      <c r="I185" s="31" t="s">
        <v>2217</v>
      </c>
      <c r="J185" t="s">
        <v>2253</v>
      </c>
    </row>
    <row r="186" spans="1:10" x14ac:dyDescent="0.25">
      <c r="A186">
        <v>11260</v>
      </c>
      <c r="B186">
        <f>VLOOKUP(A186,'Suc BD'!A:A,1,FALSE)</f>
        <v>11260</v>
      </c>
      <c r="C186" t="s">
        <v>781</v>
      </c>
      <c r="D186" t="s">
        <v>12</v>
      </c>
      <c r="E186" t="s">
        <v>2046</v>
      </c>
      <c r="F186" t="s">
        <v>773</v>
      </c>
      <c r="G186" t="s">
        <v>2183</v>
      </c>
      <c r="H186" t="s">
        <v>13</v>
      </c>
      <c r="I186" s="31" t="s">
        <v>2215</v>
      </c>
      <c r="J186" t="s">
        <v>2253</v>
      </c>
    </row>
    <row r="187" spans="1:10" x14ac:dyDescent="0.25">
      <c r="A187">
        <v>11335</v>
      </c>
      <c r="B187">
        <f>VLOOKUP(A187,'Suc BD'!A:A,1,FALSE)</f>
        <v>11335</v>
      </c>
      <c r="C187" t="s">
        <v>1979</v>
      </c>
      <c r="D187" t="s">
        <v>10</v>
      </c>
      <c r="E187" t="s">
        <v>2370</v>
      </c>
      <c r="F187" t="s">
        <v>745</v>
      </c>
      <c r="G187" t="s">
        <v>2175</v>
      </c>
      <c r="H187" t="s">
        <v>11</v>
      </c>
      <c r="I187" s="31" t="s">
        <v>2214</v>
      </c>
      <c r="J187" t="s">
        <v>2253</v>
      </c>
    </row>
    <row r="188" spans="1:10" x14ac:dyDescent="0.25">
      <c r="A188">
        <v>11237</v>
      </c>
      <c r="B188">
        <f>VLOOKUP(A188,'Suc BD'!A:A,1,FALSE)</f>
        <v>11237</v>
      </c>
      <c r="C188" t="s">
        <v>1290</v>
      </c>
      <c r="D188" t="s">
        <v>14</v>
      </c>
      <c r="E188" t="s">
        <v>2454</v>
      </c>
      <c r="F188" t="s">
        <v>1271</v>
      </c>
      <c r="G188" t="s">
        <v>2196</v>
      </c>
      <c r="H188" t="s">
        <v>15</v>
      </c>
      <c r="I188" s="31" t="s">
        <v>2216</v>
      </c>
      <c r="J188" t="s">
        <v>2253</v>
      </c>
    </row>
    <row r="189" spans="1:10" x14ac:dyDescent="0.25">
      <c r="A189">
        <v>11883</v>
      </c>
      <c r="B189">
        <f>VLOOKUP(A189,'Suc BD'!A:A,1,FALSE)</f>
        <v>11883</v>
      </c>
      <c r="C189" t="s">
        <v>1639</v>
      </c>
      <c r="D189" t="s">
        <v>16</v>
      </c>
      <c r="E189" t="s">
        <v>1640</v>
      </c>
      <c r="F189" t="s">
        <v>1607</v>
      </c>
      <c r="G189" t="s">
        <v>2204</v>
      </c>
      <c r="H189" t="s">
        <v>17</v>
      </c>
      <c r="I189" s="31" t="s">
        <v>2217</v>
      </c>
      <c r="J189" t="s">
        <v>2253</v>
      </c>
    </row>
    <row r="190" spans="1:10" x14ac:dyDescent="0.25">
      <c r="A190">
        <v>11087</v>
      </c>
      <c r="B190">
        <f>VLOOKUP(A190,'Suc BD'!A:A,1,FALSE)</f>
        <v>11087</v>
      </c>
      <c r="C190" t="s">
        <v>439</v>
      </c>
      <c r="D190" t="s">
        <v>8</v>
      </c>
      <c r="E190" t="s">
        <v>2344</v>
      </c>
      <c r="F190" t="s">
        <v>440</v>
      </c>
      <c r="G190" t="s">
        <v>2173</v>
      </c>
      <c r="H190" t="s">
        <v>9</v>
      </c>
      <c r="I190" s="31" t="s">
        <v>2213</v>
      </c>
      <c r="J190" t="s">
        <v>2253</v>
      </c>
    </row>
    <row r="191" spans="1:10" x14ac:dyDescent="0.25">
      <c r="A191">
        <v>11243</v>
      </c>
      <c r="B191">
        <f>VLOOKUP(A191,'Suc BD'!A:A,1,FALSE)</f>
        <v>11243</v>
      </c>
      <c r="C191" t="s">
        <v>412</v>
      </c>
      <c r="D191" t="s">
        <v>8</v>
      </c>
      <c r="E191" t="s">
        <v>2299</v>
      </c>
      <c r="F191" t="s">
        <v>242</v>
      </c>
      <c r="G191" t="s">
        <v>2172</v>
      </c>
      <c r="H191" t="s">
        <v>9</v>
      </c>
      <c r="I191" s="31" t="s">
        <v>2213</v>
      </c>
      <c r="J191" t="s">
        <v>2253</v>
      </c>
    </row>
    <row r="192" spans="1:10" x14ac:dyDescent="0.25">
      <c r="A192">
        <v>11239</v>
      </c>
      <c r="B192">
        <f>VLOOKUP(A192,'Suc BD'!A:A,1,FALSE)</f>
        <v>11239</v>
      </c>
      <c r="C192" t="s">
        <v>456</v>
      </c>
      <c r="D192" t="s">
        <v>8</v>
      </c>
      <c r="E192" t="s">
        <v>2348</v>
      </c>
      <c r="F192" t="s">
        <v>440</v>
      </c>
      <c r="G192" t="s">
        <v>2173</v>
      </c>
      <c r="H192" t="s">
        <v>9</v>
      </c>
      <c r="I192" s="31" t="s">
        <v>2213</v>
      </c>
      <c r="J192" t="s">
        <v>2253</v>
      </c>
    </row>
    <row r="193" spans="1:10" x14ac:dyDescent="0.25">
      <c r="A193">
        <v>11455</v>
      </c>
      <c r="B193">
        <f>VLOOKUP(A193,'Suc BD'!A:A,1,FALSE)</f>
        <v>11455</v>
      </c>
      <c r="C193" t="s">
        <v>1866</v>
      </c>
      <c r="D193" t="s">
        <v>18</v>
      </c>
      <c r="E193" t="s">
        <v>1743</v>
      </c>
      <c r="F193" t="s">
        <v>1806</v>
      </c>
      <c r="G193" t="s">
        <v>2207</v>
      </c>
      <c r="H193" t="s">
        <v>395</v>
      </c>
      <c r="I193" s="31" t="s">
        <v>99</v>
      </c>
      <c r="J193" t="s">
        <v>2253</v>
      </c>
    </row>
    <row r="194" spans="1:10" x14ac:dyDescent="0.25">
      <c r="A194">
        <v>11394</v>
      </c>
      <c r="B194">
        <f>VLOOKUP(A194,'Suc BD'!A:A,1,FALSE)</f>
        <v>11394</v>
      </c>
      <c r="C194" t="s">
        <v>970</v>
      </c>
      <c r="D194" t="s">
        <v>14</v>
      </c>
      <c r="E194" t="s">
        <v>2108</v>
      </c>
      <c r="F194" t="s">
        <v>951</v>
      </c>
      <c r="G194" t="s">
        <v>2189</v>
      </c>
      <c r="H194" t="s">
        <v>15</v>
      </c>
      <c r="I194" s="31" t="s">
        <v>2216</v>
      </c>
      <c r="J194" t="s">
        <v>2253</v>
      </c>
    </row>
    <row r="195" spans="1:10" x14ac:dyDescent="0.25">
      <c r="A195">
        <v>11423</v>
      </c>
      <c r="B195">
        <f>VLOOKUP(A195,'Suc BD'!A:A,1,FALSE)</f>
        <v>11423</v>
      </c>
      <c r="C195" t="s">
        <v>842</v>
      </c>
      <c r="D195" t="s">
        <v>12</v>
      </c>
      <c r="E195" t="s">
        <v>2106</v>
      </c>
      <c r="F195" t="s">
        <v>820</v>
      </c>
      <c r="G195" t="s">
        <v>2185</v>
      </c>
      <c r="H195" t="s">
        <v>13</v>
      </c>
      <c r="I195" s="31" t="s">
        <v>2215</v>
      </c>
      <c r="J195" t="s">
        <v>2253</v>
      </c>
    </row>
    <row r="196" spans="1:10" x14ac:dyDescent="0.25">
      <c r="A196">
        <v>11537</v>
      </c>
      <c r="B196">
        <f>VLOOKUP(A196,'Suc BD'!A:A,1,FALSE)</f>
        <v>11537</v>
      </c>
      <c r="C196" t="s">
        <v>1017</v>
      </c>
      <c r="D196" t="s">
        <v>14</v>
      </c>
      <c r="E196" t="s">
        <v>2129</v>
      </c>
      <c r="F196" t="s">
        <v>1000</v>
      </c>
      <c r="G196" t="s">
        <v>2190</v>
      </c>
      <c r="H196" t="s">
        <v>15</v>
      </c>
      <c r="I196" s="31" t="s">
        <v>2216</v>
      </c>
      <c r="J196" t="s">
        <v>2253</v>
      </c>
    </row>
    <row r="197" spans="1:10" x14ac:dyDescent="0.25">
      <c r="A197">
        <v>11442</v>
      </c>
      <c r="B197">
        <f>VLOOKUP(A197,'Suc BD'!A:A,1,FALSE)</f>
        <v>11442</v>
      </c>
      <c r="C197" t="s">
        <v>136</v>
      </c>
      <c r="D197" t="s">
        <v>8</v>
      </c>
      <c r="E197" t="s">
        <v>2269</v>
      </c>
      <c r="F197" t="s">
        <v>111</v>
      </c>
      <c r="G197" t="s">
        <v>2166</v>
      </c>
      <c r="H197" t="s">
        <v>9</v>
      </c>
      <c r="I197" s="31" t="s">
        <v>2213</v>
      </c>
      <c r="J197" t="s">
        <v>2253</v>
      </c>
    </row>
    <row r="198" spans="1:10" x14ac:dyDescent="0.25">
      <c r="A198">
        <v>11284</v>
      </c>
      <c r="B198">
        <f>VLOOKUP(A198,'Suc BD'!A:A,1,FALSE)</f>
        <v>11284</v>
      </c>
      <c r="C198" t="s">
        <v>830</v>
      </c>
      <c r="D198" t="s">
        <v>12</v>
      </c>
      <c r="E198" t="s">
        <v>2075</v>
      </c>
      <c r="F198" t="s">
        <v>820</v>
      </c>
      <c r="G198" t="s">
        <v>2185</v>
      </c>
      <c r="H198" t="s">
        <v>13</v>
      </c>
      <c r="I198" s="31" t="s">
        <v>2215</v>
      </c>
      <c r="J198" t="s">
        <v>2253</v>
      </c>
    </row>
    <row r="199" spans="1:10" x14ac:dyDescent="0.25">
      <c r="A199">
        <v>12384</v>
      </c>
      <c r="B199" t="e">
        <f>VLOOKUP(A199,'Suc BD'!A:A,1,FALSE)</f>
        <v>#N/A</v>
      </c>
      <c r="C199" t="s">
        <v>2135</v>
      </c>
      <c r="D199" t="s">
        <v>18</v>
      </c>
      <c r="E199" t="s">
        <v>2245</v>
      </c>
      <c r="F199" t="s">
        <v>1849</v>
      </c>
      <c r="G199" t="s">
        <v>2208</v>
      </c>
      <c r="H199" t="s">
        <v>395</v>
      </c>
      <c r="I199" s="31" t="s">
        <v>99</v>
      </c>
      <c r="J199" t="s">
        <v>2253</v>
      </c>
    </row>
    <row r="200" spans="1:10" x14ac:dyDescent="0.25">
      <c r="A200">
        <v>11006</v>
      </c>
      <c r="B200">
        <f>VLOOKUP(A200,'Suc BD'!A:A,1,FALSE)</f>
        <v>11006</v>
      </c>
      <c r="C200" t="s">
        <v>1847</v>
      </c>
      <c r="D200" t="s">
        <v>18</v>
      </c>
      <c r="E200" t="s">
        <v>2459</v>
      </c>
      <c r="F200" t="s">
        <v>1849</v>
      </c>
      <c r="G200" t="s">
        <v>2208</v>
      </c>
      <c r="H200" t="s">
        <v>395</v>
      </c>
      <c r="I200" s="31" t="s">
        <v>99</v>
      </c>
      <c r="J200" t="s">
        <v>2253</v>
      </c>
    </row>
    <row r="201" spans="1:10" x14ac:dyDescent="0.25">
      <c r="A201">
        <v>11223</v>
      </c>
      <c r="B201">
        <f>VLOOKUP(A201,'Suc BD'!A:A,1,FALSE)</f>
        <v>11223</v>
      </c>
      <c r="C201" t="s">
        <v>2025</v>
      </c>
      <c r="D201" t="s">
        <v>10</v>
      </c>
      <c r="E201" t="s">
        <v>2428</v>
      </c>
      <c r="F201" t="s">
        <v>714</v>
      </c>
      <c r="G201" t="s">
        <v>2181</v>
      </c>
      <c r="H201" t="s">
        <v>11</v>
      </c>
      <c r="I201" s="31" t="s">
        <v>2214</v>
      </c>
      <c r="J201" t="s">
        <v>2253</v>
      </c>
    </row>
    <row r="202" spans="1:10" x14ac:dyDescent="0.25">
      <c r="A202">
        <v>11638</v>
      </c>
      <c r="B202">
        <f>VLOOKUP(A202,'Suc BD'!A:A,1,FALSE)</f>
        <v>11638</v>
      </c>
      <c r="C202" t="s">
        <v>1111</v>
      </c>
      <c r="D202" t="s">
        <v>14</v>
      </c>
      <c r="E202" t="s">
        <v>1112</v>
      </c>
      <c r="F202" t="s">
        <v>1061</v>
      </c>
      <c r="G202" t="s">
        <v>2191</v>
      </c>
      <c r="H202" t="s">
        <v>15</v>
      </c>
      <c r="I202" s="31" t="s">
        <v>2216</v>
      </c>
      <c r="J202" t="s">
        <v>2253</v>
      </c>
    </row>
    <row r="203" spans="1:10" x14ac:dyDescent="0.25">
      <c r="A203">
        <v>11864</v>
      </c>
      <c r="B203">
        <f>VLOOKUP(A203,'Suc BD'!A:A,1,FALSE)</f>
        <v>11864</v>
      </c>
      <c r="C203" t="s">
        <v>1422</v>
      </c>
      <c r="D203" t="s">
        <v>16</v>
      </c>
      <c r="E203" t="s">
        <v>2117</v>
      </c>
      <c r="F203" t="s">
        <v>1388</v>
      </c>
      <c r="G203" t="s">
        <v>2199</v>
      </c>
      <c r="H203" t="s">
        <v>17</v>
      </c>
      <c r="I203" s="31" t="s">
        <v>2217</v>
      </c>
      <c r="J203" t="s">
        <v>2253</v>
      </c>
    </row>
    <row r="204" spans="1:10" x14ac:dyDescent="0.25">
      <c r="A204">
        <v>11154</v>
      </c>
      <c r="B204">
        <f>VLOOKUP(A204,'Suc BD'!A:A,1,FALSE)</f>
        <v>11154</v>
      </c>
      <c r="C204" t="s">
        <v>360</v>
      </c>
      <c r="D204" t="s">
        <v>8</v>
      </c>
      <c r="E204" t="s">
        <v>2336</v>
      </c>
      <c r="F204" t="s">
        <v>361</v>
      </c>
      <c r="G204" t="s">
        <v>2171</v>
      </c>
      <c r="H204" t="s">
        <v>9</v>
      </c>
      <c r="I204" s="31" t="s">
        <v>2213</v>
      </c>
      <c r="J204" t="s">
        <v>2253</v>
      </c>
    </row>
    <row r="205" spans="1:10" x14ac:dyDescent="0.25">
      <c r="A205">
        <v>11376</v>
      </c>
      <c r="B205">
        <f>VLOOKUP(A205,'Suc BD'!A:A,1,FALSE)</f>
        <v>11376</v>
      </c>
      <c r="C205" t="s">
        <v>1405</v>
      </c>
      <c r="D205" t="s">
        <v>16</v>
      </c>
      <c r="E205" t="s">
        <v>1406</v>
      </c>
      <c r="F205" t="s">
        <v>1388</v>
      </c>
      <c r="G205" t="s">
        <v>2199</v>
      </c>
      <c r="H205" t="s">
        <v>17</v>
      </c>
      <c r="I205" s="31" t="s">
        <v>2217</v>
      </c>
      <c r="J205" t="s">
        <v>2253</v>
      </c>
    </row>
    <row r="206" spans="1:10" x14ac:dyDescent="0.25">
      <c r="A206">
        <v>11327</v>
      </c>
      <c r="B206">
        <f>VLOOKUP(A206,'Suc BD'!A:A,1,FALSE)</f>
        <v>11327</v>
      </c>
      <c r="C206" t="s">
        <v>1671</v>
      </c>
      <c r="D206" t="s">
        <v>16</v>
      </c>
      <c r="E206" t="s">
        <v>1672</v>
      </c>
      <c r="F206" t="s">
        <v>1658</v>
      </c>
      <c r="G206" t="s">
        <v>2205</v>
      </c>
      <c r="H206" t="s">
        <v>17</v>
      </c>
      <c r="I206" s="31" t="s">
        <v>2217</v>
      </c>
      <c r="J206" t="s">
        <v>2253</v>
      </c>
    </row>
    <row r="207" spans="1:10" x14ac:dyDescent="0.25">
      <c r="A207">
        <v>11555</v>
      </c>
      <c r="B207">
        <f>VLOOKUP(A207,'Suc BD'!A:A,1,FALSE)</f>
        <v>11555</v>
      </c>
      <c r="C207" t="s">
        <v>476</v>
      </c>
      <c r="D207" t="s">
        <v>8</v>
      </c>
      <c r="E207" t="s">
        <v>2353</v>
      </c>
      <c r="F207" t="s">
        <v>440</v>
      </c>
      <c r="G207" t="s">
        <v>2173</v>
      </c>
      <c r="H207" t="s">
        <v>9</v>
      </c>
      <c r="I207" s="31" t="s">
        <v>2213</v>
      </c>
      <c r="J207" t="s">
        <v>2253</v>
      </c>
    </row>
    <row r="208" spans="1:10" x14ac:dyDescent="0.25">
      <c r="A208">
        <v>11368</v>
      </c>
      <c r="B208">
        <f>VLOOKUP(A208,'Suc BD'!A:A,1,FALSE)</f>
        <v>11368</v>
      </c>
      <c r="C208" t="s">
        <v>1824</v>
      </c>
      <c r="D208" t="s">
        <v>18</v>
      </c>
      <c r="E208" t="s">
        <v>1825</v>
      </c>
      <c r="F208" t="s">
        <v>1708</v>
      </c>
      <c r="G208" t="s">
        <v>2206</v>
      </c>
      <c r="H208" t="s">
        <v>395</v>
      </c>
      <c r="I208" s="31" t="s">
        <v>99</v>
      </c>
      <c r="J208" t="s">
        <v>2253</v>
      </c>
    </row>
    <row r="209" spans="1:10" x14ac:dyDescent="0.25">
      <c r="A209">
        <v>12301</v>
      </c>
      <c r="B209">
        <f>VLOOKUP(A209,'Suc BD'!A:A,1,FALSE)</f>
        <v>12301</v>
      </c>
      <c r="C209" t="s">
        <v>1949</v>
      </c>
      <c r="D209" t="s">
        <v>16</v>
      </c>
      <c r="E209" t="s">
        <v>1522</v>
      </c>
      <c r="F209" t="s">
        <v>1482</v>
      </c>
      <c r="G209" t="s">
        <v>2201</v>
      </c>
      <c r="H209" t="s">
        <v>17</v>
      </c>
      <c r="I209" s="31" t="s">
        <v>2217</v>
      </c>
      <c r="J209" t="s">
        <v>2253</v>
      </c>
    </row>
    <row r="210" spans="1:10" x14ac:dyDescent="0.25">
      <c r="A210">
        <v>11312</v>
      </c>
      <c r="B210">
        <f>VLOOKUP(A210,'Suc BD'!A:A,1,FALSE)</f>
        <v>11312</v>
      </c>
      <c r="C210" t="s">
        <v>1173</v>
      </c>
      <c r="D210" t="s">
        <v>14</v>
      </c>
      <c r="E210" t="s">
        <v>1174</v>
      </c>
      <c r="F210" t="s">
        <v>1164</v>
      </c>
      <c r="G210" t="s">
        <v>2193</v>
      </c>
      <c r="H210" t="s">
        <v>15</v>
      </c>
      <c r="I210" s="31" t="s">
        <v>2216</v>
      </c>
      <c r="J210" t="s">
        <v>2253</v>
      </c>
    </row>
    <row r="211" spans="1:10" x14ac:dyDescent="0.25">
      <c r="A211">
        <v>11200</v>
      </c>
      <c r="B211">
        <f>VLOOKUP(A211,'Suc BD'!A:A,1,FALSE)</f>
        <v>11200</v>
      </c>
      <c r="C211" t="s">
        <v>210</v>
      </c>
      <c r="D211" t="s">
        <v>8</v>
      </c>
      <c r="E211" t="s">
        <v>2287</v>
      </c>
      <c r="F211" t="s">
        <v>196</v>
      </c>
      <c r="G211" t="s">
        <v>2168</v>
      </c>
      <c r="H211" t="s">
        <v>9</v>
      </c>
      <c r="I211" s="31" t="s">
        <v>2213</v>
      </c>
      <c r="J211" t="s">
        <v>2253</v>
      </c>
    </row>
    <row r="212" spans="1:10" x14ac:dyDescent="0.25">
      <c r="A212">
        <v>11523</v>
      </c>
      <c r="B212">
        <f>VLOOKUP(A212,'Suc BD'!A:A,1,FALSE)</f>
        <v>11523</v>
      </c>
      <c r="C212" t="s">
        <v>1732</v>
      </c>
      <c r="D212" t="s">
        <v>18</v>
      </c>
      <c r="E212" t="s">
        <v>1733</v>
      </c>
      <c r="F212" t="s">
        <v>1708</v>
      </c>
      <c r="G212" t="s">
        <v>2206</v>
      </c>
      <c r="H212" t="s">
        <v>395</v>
      </c>
      <c r="I212" s="31" t="s">
        <v>99</v>
      </c>
      <c r="J212" t="s">
        <v>2253</v>
      </c>
    </row>
    <row r="213" spans="1:10" x14ac:dyDescent="0.25">
      <c r="A213">
        <v>11302</v>
      </c>
      <c r="B213">
        <f>VLOOKUP(A213,'Suc BD'!A:A,1,FALSE)</f>
        <v>11302</v>
      </c>
      <c r="C213" t="s">
        <v>1242</v>
      </c>
      <c r="D213" t="s">
        <v>14</v>
      </c>
      <c r="E213" t="s">
        <v>1243</v>
      </c>
      <c r="F213" t="s">
        <v>1238</v>
      </c>
      <c r="G213" t="s">
        <v>2195</v>
      </c>
      <c r="H213" t="s">
        <v>15</v>
      </c>
      <c r="I213" s="31" t="s">
        <v>2216</v>
      </c>
      <c r="J213" t="s">
        <v>2253</v>
      </c>
    </row>
    <row r="214" spans="1:10" x14ac:dyDescent="0.25">
      <c r="A214">
        <v>11264</v>
      </c>
      <c r="B214">
        <f>VLOOKUP(A214,'Suc BD'!A:A,1,FALSE)</f>
        <v>11264</v>
      </c>
      <c r="C214" t="s">
        <v>2006</v>
      </c>
      <c r="D214" t="s">
        <v>10</v>
      </c>
      <c r="E214" t="s">
        <v>2403</v>
      </c>
      <c r="F214" t="s">
        <v>646</v>
      </c>
      <c r="G214" t="s">
        <v>2178</v>
      </c>
      <c r="H214" t="s">
        <v>11</v>
      </c>
      <c r="I214" s="31" t="s">
        <v>2214</v>
      </c>
      <c r="J214" t="s">
        <v>2253</v>
      </c>
    </row>
    <row r="215" spans="1:10" x14ac:dyDescent="0.25">
      <c r="A215">
        <v>11620</v>
      </c>
      <c r="B215">
        <f>VLOOKUP(A215,'Suc BD'!A:A,1,FALSE)</f>
        <v>11620</v>
      </c>
      <c r="C215" t="s">
        <v>1517</v>
      </c>
      <c r="D215" t="s">
        <v>16</v>
      </c>
      <c r="E215" t="s">
        <v>1518</v>
      </c>
      <c r="F215" t="s">
        <v>1482</v>
      </c>
      <c r="G215" t="s">
        <v>2201</v>
      </c>
      <c r="H215" t="s">
        <v>17</v>
      </c>
      <c r="I215" s="31" t="s">
        <v>2217</v>
      </c>
      <c r="J215" t="s">
        <v>2253</v>
      </c>
    </row>
    <row r="216" spans="1:10" x14ac:dyDescent="0.25">
      <c r="A216">
        <v>11061</v>
      </c>
      <c r="B216">
        <f>VLOOKUP(A216,'Suc BD'!A:A,1,FALSE)</f>
        <v>11061</v>
      </c>
      <c r="C216" t="s">
        <v>2016</v>
      </c>
      <c r="D216" t="s">
        <v>10</v>
      </c>
      <c r="E216" t="s">
        <v>2415</v>
      </c>
      <c r="F216" t="s">
        <v>675</v>
      </c>
      <c r="G216" t="s">
        <v>2180</v>
      </c>
      <c r="H216" t="s">
        <v>11</v>
      </c>
      <c r="I216" s="31" t="s">
        <v>2214</v>
      </c>
      <c r="J216" t="s">
        <v>2253</v>
      </c>
    </row>
    <row r="217" spans="1:10" x14ac:dyDescent="0.25">
      <c r="A217">
        <v>11138</v>
      </c>
      <c r="B217" t="e">
        <f>VLOOKUP(A217,'Suc BD'!A:A,1,FALSE)</f>
        <v>#N/A</v>
      </c>
      <c r="C217" t="s">
        <v>2040</v>
      </c>
      <c r="D217" t="s">
        <v>12</v>
      </c>
      <c r="E217" t="s">
        <v>2041</v>
      </c>
      <c r="F217" t="s">
        <v>773</v>
      </c>
      <c r="G217" t="s">
        <v>2183</v>
      </c>
      <c r="H217" t="s">
        <v>13</v>
      </c>
      <c r="I217" s="31" t="s">
        <v>2215</v>
      </c>
      <c r="J217" t="s">
        <v>2253</v>
      </c>
    </row>
    <row r="218" spans="1:10" x14ac:dyDescent="0.25">
      <c r="A218">
        <v>11861</v>
      </c>
      <c r="B218">
        <f>VLOOKUP(A218,'Suc BD'!A:A,1,FALSE)</f>
        <v>11861</v>
      </c>
      <c r="C218" t="s">
        <v>1561</v>
      </c>
      <c r="D218" t="s">
        <v>16</v>
      </c>
      <c r="E218" t="s">
        <v>1562</v>
      </c>
      <c r="F218" t="s">
        <v>1528</v>
      </c>
      <c r="G218" t="s">
        <v>2202</v>
      </c>
      <c r="H218" t="s">
        <v>17</v>
      </c>
      <c r="I218" s="31" t="s">
        <v>2217</v>
      </c>
      <c r="J218" t="s">
        <v>2253</v>
      </c>
    </row>
    <row r="219" spans="1:10" x14ac:dyDescent="0.25">
      <c r="A219">
        <v>12333</v>
      </c>
      <c r="B219">
        <f>VLOOKUP(A219,'Suc BD'!A:A,1,FALSE)</f>
        <v>12333</v>
      </c>
      <c r="C219" t="s">
        <v>1800</v>
      </c>
      <c r="D219" t="s">
        <v>18</v>
      </c>
      <c r="E219" t="s">
        <v>1801</v>
      </c>
      <c r="F219" t="s">
        <v>1849</v>
      </c>
      <c r="G219" t="s">
        <v>2208</v>
      </c>
      <c r="H219" t="s">
        <v>395</v>
      </c>
      <c r="I219" s="31" t="s">
        <v>99</v>
      </c>
      <c r="J219" t="s">
        <v>2253</v>
      </c>
    </row>
    <row r="220" spans="1:10" x14ac:dyDescent="0.25">
      <c r="A220">
        <v>11168</v>
      </c>
      <c r="B220">
        <f>VLOOKUP(A220,'Suc BD'!A:A,1,FALSE)</f>
        <v>11168</v>
      </c>
      <c r="C220" t="s">
        <v>444</v>
      </c>
      <c r="D220" t="s">
        <v>8</v>
      </c>
      <c r="E220" t="s">
        <v>2345</v>
      </c>
      <c r="F220" t="s">
        <v>440</v>
      </c>
      <c r="G220" t="s">
        <v>2173</v>
      </c>
      <c r="H220" t="s">
        <v>9</v>
      </c>
      <c r="I220" s="31" t="s">
        <v>2213</v>
      </c>
      <c r="J220" t="s">
        <v>2253</v>
      </c>
    </row>
    <row r="221" spans="1:10" x14ac:dyDescent="0.25">
      <c r="A221">
        <v>11074</v>
      </c>
      <c r="B221">
        <f>VLOOKUP(A221,'Suc BD'!A:A,1,FALSE)</f>
        <v>11074</v>
      </c>
      <c r="C221" t="s">
        <v>819</v>
      </c>
      <c r="D221" t="s">
        <v>12</v>
      </c>
      <c r="E221" t="s">
        <v>2052</v>
      </c>
      <c r="F221" t="s">
        <v>820</v>
      </c>
      <c r="G221" t="s">
        <v>2185</v>
      </c>
      <c r="H221" t="s">
        <v>13</v>
      </c>
      <c r="I221" s="31" t="s">
        <v>2215</v>
      </c>
      <c r="J221" t="s">
        <v>2253</v>
      </c>
    </row>
    <row r="222" spans="1:10" x14ac:dyDescent="0.25">
      <c r="A222">
        <v>12318</v>
      </c>
      <c r="B222">
        <f>VLOOKUP(A222,'Suc BD'!A:A,1,FALSE)</f>
        <v>12318</v>
      </c>
      <c r="C222" t="s">
        <v>1976</v>
      </c>
      <c r="D222" t="s">
        <v>10</v>
      </c>
      <c r="E222" t="s">
        <v>2366</v>
      </c>
      <c r="F222" t="s">
        <v>489</v>
      </c>
      <c r="G222" t="s">
        <v>2174</v>
      </c>
      <c r="H222" t="s">
        <v>11</v>
      </c>
      <c r="I222" s="31" t="s">
        <v>2214</v>
      </c>
      <c r="J222" t="s">
        <v>2253</v>
      </c>
    </row>
    <row r="223" spans="1:10" x14ac:dyDescent="0.25">
      <c r="A223">
        <v>11844</v>
      </c>
      <c r="B223">
        <f>VLOOKUP(A223,'Suc BD'!A:A,1,FALSE)</f>
        <v>11844</v>
      </c>
      <c r="C223" t="s">
        <v>420</v>
      </c>
      <c r="D223" t="s">
        <v>8</v>
      </c>
      <c r="E223" t="s">
        <v>2301</v>
      </c>
      <c r="F223" t="s">
        <v>242</v>
      </c>
      <c r="G223" t="s">
        <v>2172</v>
      </c>
      <c r="H223" t="s">
        <v>9</v>
      </c>
      <c r="I223" s="31" t="s">
        <v>2213</v>
      </c>
      <c r="J223" t="s">
        <v>2253</v>
      </c>
    </row>
    <row r="224" spans="1:10" x14ac:dyDescent="0.25">
      <c r="A224">
        <v>11026</v>
      </c>
      <c r="B224">
        <f>VLOOKUP(A224,'Suc BD'!A:A,1,FALSE)</f>
        <v>11026</v>
      </c>
      <c r="C224" t="s">
        <v>1992</v>
      </c>
      <c r="D224" t="s">
        <v>10</v>
      </c>
      <c r="E224" t="s">
        <v>2387</v>
      </c>
      <c r="F224" t="s">
        <v>588</v>
      </c>
      <c r="G224" t="s">
        <v>2177</v>
      </c>
      <c r="H224" t="s">
        <v>11</v>
      </c>
      <c r="I224" s="31" t="s">
        <v>2214</v>
      </c>
      <c r="J224" t="s">
        <v>2253</v>
      </c>
    </row>
    <row r="225" spans="1:10" x14ac:dyDescent="0.25">
      <c r="A225">
        <v>11432</v>
      </c>
      <c r="B225">
        <f>VLOOKUP(A225,'Suc BD'!A:A,1,FALSE)</f>
        <v>11432</v>
      </c>
      <c r="C225" t="s">
        <v>1763</v>
      </c>
      <c r="D225" t="s">
        <v>18</v>
      </c>
      <c r="E225" t="s">
        <v>1764</v>
      </c>
      <c r="F225" t="s">
        <v>1806</v>
      </c>
      <c r="G225" t="s">
        <v>2207</v>
      </c>
      <c r="H225" t="s">
        <v>395</v>
      </c>
      <c r="I225" s="31" t="s">
        <v>99</v>
      </c>
      <c r="J225" t="s">
        <v>2253</v>
      </c>
    </row>
    <row r="226" spans="1:10" x14ac:dyDescent="0.25">
      <c r="A226">
        <v>11429</v>
      </c>
      <c r="B226">
        <f>VLOOKUP(A226,'Suc BD'!A:A,1,FALSE)</f>
        <v>11429</v>
      </c>
      <c r="C226" t="s">
        <v>871</v>
      </c>
      <c r="D226" t="s">
        <v>12</v>
      </c>
      <c r="E226" t="s">
        <v>2062</v>
      </c>
      <c r="F226" t="s">
        <v>859</v>
      </c>
      <c r="G226" t="s">
        <v>2186</v>
      </c>
      <c r="H226" t="s">
        <v>13</v>
      </c>
      <c r="I226" s="31" t="s">
        <v>2215</v>
      </c>
      <c r="J226" t="s">
        <v>2253</v>
      </c>
    </row>
    <row r="227" spans="1:10" x14ac:dyDescent="0.25">
      <c r="A227">
        <v>11602</v>
      </c>
      <c r="B227">
        <f>VLOOKUP(A227,'Suc BD'!A:A,1,FALSE)</f>
        <v>11602</v>
      </c>
      <c r="C227" t="s">
        <v>1106</v>
      </c>
      <c r="D227" t="s">
        <v>14</v>
      </c>
      <c r="E227" t="s">
        <v>1107</v>
      </c>
      <c r="F227" t="s">
        <v>1061</v>
      </c>
      <c r="G227" t="s">
        <v>2191</v>
      </c>
      <c r="H227" t="s">
        <v>15</v>
      </c>
      <c r="I227" s="31" t="s">
        <v>2216</v>
      </c>
      <c r="J227" t="s">
        <v>2253</v>
      </c>
    </row>
    <row r="228" spans="1:10" x14ac:dyDescent="0.25">
      <c r="A228">
        <v>11252</v>
      </c>
      <c r="B228">
        <f>VLOOKUP(A228,'Suc BD'!A:A,1,FALSE)</f>
        <v>11252</v>
      </c>
      <c r="C228" t="s">
        <v>1049</v>
      </c>
      <c r="D228" t="s">
        <v>14</v>
      </c>
      <c r="E228" t="s">
        <v>1050</v>
      </c>
      <c r="F228" t="s">
        <v>1205</v>
      </c>
      <c r="G228" t="s">
        <v>2194</v>
      </c>
      <c r="H228" t="s">
        <v>15</v>
      </c>
      <c r="I228" s="31" t="s">
        <v>2216</v>
      </c>
      <c r="J228" t="s">
        <v>2253</v>
      </c>
    </row>
    <row r="229" spans="1:10" x14ac:dyDescent="0.25">
      <c r="A229">
        <v>11290</v>
      </c>
      <c r="B229">
        <f>VLOOKUP(A229,'Suc BD'!A:A,1,FALSE)</f>
        <v>11290</v>
      </c>
      <c r="C229" t="s">
        <v>340</v>
      </c>
      <c r="D229" t="s">
        <v>8</v>
      </c>
      <c r="E229" t="s">
        <v>2324</v>
      </c>
      <c r="F229" t="s">
        <v>316</v>
      </c>
      <c r="G229" t="s">
        <v>2170</v>
      </c>
      <c r="H229" t="s">
        <v>9</v>
      </c>
      <c r="I229" s="31" t="s">
        <v>2213</v>
      </c>
      <c r="J229" t="s">
        <v>2253</v>
      </c>
    </row>
    <row r="230" spans="1:10" x14ac:dyDescent="0.25">
      <c r="A230">
        <v>11526</v>
      </c>
      <c r="B230">
        <f>VLOOKUP(A230,'Suc BD'!A:A,1,FALSE)</f>
        <v>11526</v>
      </c>
      <c r="C230" t="s">
        <v>939</v>
      </c>
      <c r="D230" t="s">
        <v>12</v>
      </c>
      <c r="E230" t="s">
        <v>2074</v>
      </c>
      <c r="F230" t="s">
        <v>920</v>
      </c>
      <c r="G230" t="s">
        <v>2188</v>
      </c>
      <c r="H230" t="s">
        <v>13</v>
      </c>
      <c r="I230" s="31" t="s">
        <v>2215</v>
      </c>
      <c r="J230" t="s">
        <v>2253</v>
      </c>
    </row>
    <row r="231" spans="1:10" x14ac:dyDescent="0.25">
      <c r="A231">
        <v>11891</v>
      </c>
      <c r="B231">
        <f>VLOOKUP(A231,'Suc BD'!A:A,1,FALSE)</f>
        <v>11891</v>
      </c>
      <c r="C231" t="s">
        <v>427</v>
      </c>
      <c r="D231" t="s">
        <v>8</v>
      </c>
      <c r="E231" t="s">
        <v>2303</v>
      </c>
      <c r="F231" t="s">
        <v>242</v>
      </c>
      <c r="G231" t="s">
        <v>2172</v>
      </c>
      <c r="H231" t="s">
        <v>9</v>
      </c>
      <c r="I231" s="31" t="s">
        <v>2213</v>
      </c>
      <c r="J231" t="s">
        <v>2253</v>
      </c>
    </row>
    <row r="232" spans="1:10" x14ac:dyDescent="0.25">
      <c r="A232">
        <v>12345</v>
      </c>
      <c r="B232">
        <f>VLOOKUP(A232,'Suc BD'!A:A,1,FALSE)</f>
        <v>12345</v>
      </c>
      <c r="C232" t="s">
        <v>1468</v>
      </c>
      <c r="D232" t="s">
        <v>16</v>
      </c>
      <c r="E232" t="s">
        <v>2120</v>
      </c>
      <c r="F232" t="s">
        <v>1607</v>
      </c>
      <c r="G232" t="s">
        <v>2204</v>
      </c>
      <c r="H232" t="s">
        <v>17</v>
      </c>
      <c r="I232" s="31" t="s">
        <v>2217</v>
      </c>
      <c r="J232" t="s">
        <v>2253</v>
      </c>
    </row>
    <row r="233" spans="1:10" x14ac:dyDescent="0.25">
      <c r="A233">
        <v>11616</v>
      </c>
      <c r="B233">
        <f>VLOOKUP(A233,'Suc BD'!A:A,1,FALSE)</f>
        <v>11616</v>
      </c>
      <c r="C233" t="s">
        <v>913</v>
      </c>
      <c r="D233" t="s">
        <v>12</v>
      </c>
      <c r="E233" t="s">
        <v>2457</v>
      </c>
      <c r="F233" t="s">
        <v>897</v>
      </c>
      <c r="G233" t="s">
        <v>2187</v>
      </c>
      <c r="H233" t="s">
        <v>13</v>
      </c>
      <c r="I233" s="31" t="s">
        <v>2215</v>
      </c>
      <c r="J233" t="s">
        <v>2253</v>
      </c>
    </row>
    <row r="234" spans="1:10" x14ac:dyDescent="0.25">
      <c r="A234">
        <v>11176</v>
      </c>
      <c r="B234">
        <f>VLOOKUP(A234,'Suc BD'!A:A,1,FALSE)</f>
        <v>11176</v>
      </c>
      <c r="C234" t="s">
        <v>1572</v>
      </c>
      <c r="D234" t="s">
        <v>16</v>
      </c>
      <c r="E234" t="s">
        <v>1573</v>
      </c>
      <c r="F234" t="s">
        <v>1568</v>
      </c>
      <c r="G234" t="s">
        <v>2203</v>
      </c>
      <c r="H234" t="s">
        <v>17</v>
      </c>
      <c r="I234" s="31" t="s">
        <v>2217</v>
      </c>
      <c r="J234" t="s">
        <v>2253</v>
      </c>
    </row>
    <row r="235" spans="1:10" x14ac:dyDescent="0.25">
      <c r="A235">
        <v>11475</v>
      </c>
      <c r="B235">
        <f>VLOOKUP(A235,'Suc BD'!A:A,1,FALSE)</f>
        <v>11475</v>
      </c>
      <c r="C235" t="s">
        <v>1965</v>
      </c>
      <c r="D235" t="s">
        <v>8</v>
      </c>
      <c r="E235" t="s">
        <v>2281</v>
      </c>
      <c r="F235" t="s">
        <v>158</v>
      </c>
      <c r="G235" t="s">
        <v>2167</v>
      </c>
      <c r="H235" t="s">
        <v>9</v>
      </c>
      <c r="I235" s="31" t="s">
        <v>2213</v>
      </c>
      <c r="J235" t="s">
        <v>2253</v>
      </c>
    </row>
    <row r="236" spans="1:10" x14ac:dyDescent="0.25">
      <c r="A236">
        <v>11770</v>
      </c>
      <c r="B236">
        <f>VLOOKUP(A236,'Suc BD'!A:A,1,FALSE)</f>
        <v>11770</v>
      </c>
      <c r="C236" t="s">
        <v>1893</v>
      </c>
      <c r="D236" t="s">
        <v>18</v>
      </c>
      <c r="E236" t="s">
        <v>2124</v>
      </c>
      <c r="F236" t="s">
        <v>1867</v>
      </c>
      <c r="G236" t="s">
        <v>2463</v>
      </c>
      <c r="H236" t="s">
        <v>395</v>
      </c>
      <c r="I236" s="31" t="s">
        <v>99</v>
      </c>
      <c r="J236" t="s">
        <v>2253</v>
      </c>
    </row>
    <row r="237" spans="1:10" x14ac:dyDescent="0.25">
      <c r="A237">
        <v>11069</v>
      </c>
      <c r="B237">
        <f>VLOOKUP(A237,'Suc BD'!A:A,1,FALSE)</f>
        <v>11069</v>
      </c>
      <c r="C237" t="s">
        <v>1853</v>
      </c>
      <c r="D237" t="s">
        <v>18</v>
      </c>
      <c r="E237" t="s">
        <v>1903</v>
      </c>
      <c r="F237" t="s">
        <v>1849</v>
      </c>
      <c r="G237" t="s">
        <v>2208</v>
      </c>
      <c r="H237" t="s">
        <v>395</v>
      </c>
      <c r="I237" s="31" t="s">
        <v>99</v>
      </c>
      <c r="J237" t="s">
        <v>2253</v>
      </c>
    </row>
    <row r="238" spans="1:10" x14ac:dyDescent="0.25">
      <c r="A238">
        <v>12321</v>
      </c>
      <c r="B238">
        <f>VLOOKUP(A238,'Suc BD'!A:A,1,FALSE)</f>
        <v>12321</v>
      </c>
      <c r="C238" t="s">
        <v>435</v>
      </c>
      <c r="D238" t="s">
        <v>8</v>
      </c>
      <c r="E238" t="s">
        <v>2305</v>
      </c>
      <c r="F238" t="s">
        <v>242</v>
      </c>
      <c r="G238" t="s">
        <v>2172</v>
      </c>
      <c r="H238" t="s">
        <v>9</v>
      </c>
      <c r="I238" s="31" t="s">
        <v>2213</v>
      </c>
      <c r="J238" t="s">
        <v>2253</v>
      </c>
    </row>
    <row r="239" spans="1:10" x14ac:dyDescent="0.25">
      <c r="A239">
        <v>11617</v>
      </c>
      <c r="B239">
        <f>VLOOKUP(A239,'Suc BD'!A:A,1,FALSE)</f>
        <v>11617</v>
      </c>
      <c r="C239" t="s">
        <v>2037</v>
      </c>
      <c r="D239" t="s">
        <v>10</v>
      </c>
      <c r="E239" t="s">
        <v>2442</v>
      </c>
      <c r="F239" t="s">
        <v>555</v>
      </c>
      <c r="G239" t="s">
        <v>2182</v>
      </c>
      <c r="H239" t="s">
        <v>11</v>
      </c>
      <c r="I239" s="31" t="s">
        <v>2214</v>
      </c>
      <c r="J239" t="s">
        <v>2253</v>
      </c>
    </row>
    <row r="240" spans="1:10" x14ac:dyDescent="0.25">
      <c r="A240">
        <v>12332</v>
      </c>
      <c r="B240">
        <f>VLOOKUP(A240,'Suc BD'!A:A,1,FALSE)</f>
        <v>12332</v>
      </c>
      <c r="C240" t="s">
        <v>1035</v>
      </c>
      <c r="D240" t="s">
        <v>14</v>
      </c>
      <c r="E240" t="s">
        <v>1036</v>
      </c>
      <c r="F240" t="s">
        <v>1000</v>
      </c>
      <c r="G240" t="s">
        <v>2190</v>
      </c>
      <c r="H240" t="s">
        <v>15</v>
      </c>
      <c r="I240" s="31" t="s">
        <v>2216</v>
      </c>
      <c r="J240" t="s">
        <v>2253</v>
      </c>
    </row>
    <row r="241" spans="1:10" x14ac:dyDescent="0.25">
      <c r="A241">
        <v>11396</v>
      </c>
      <c r="B241">
        <f>VLOOKUP(A241,'Suc BD'!A:A,1,FALSE)</f>
        <v>11396</v>
      </c>
      <c r="C241" t="s">
        <v>1019</v>
      </c>
      <c r="D241" t="s">
        <v>14</v>
      </c>
      <c r="E241" t="s">
        <v>2109</v>
      </c>
      <c r="F241" t="s">
        <v>1000</v>
      </c>
      <c r="G241" t="s">
        <v>2190</v>
      </c>
      <c r="H241" t="s">
        <v>15</v>
      </c>
      <c r="I241" s="31" t="s">
        <v>2216</v>
      </c>
      <c r="J241" t="s">
        <v>2253</v>
      </c>
    </row>
    <row r="242" spans="1:10" x14ac:dyDescent="0.25">
      <c r="A242">
        <v>11430</v>
      </c>
      <c r="B242">
        <f>VLOOKUP(A242,'Suc BD'!A:A,1,FALSE)</f>
        <v>11430</v>
      </c>
      <c r="C242" t="s">
        <v>2085</v>
      </c>
      <c r="D242" t="s">
        <v>16</v>
      </c>
      <c r="E242" t="s">
        <v>1505</v>
      </c>
      <c r="F242" t="s">
        <v>1482</v>
      </c>
      <c r="G242" t="s">
        <v>2201</v>
      </c>
      <c r="H242" t="s">
        <v>17</v>
      </c>
      <c r="I242" s="31" t="s">
        <v>2217</v>
      </c>
      <c r="J242" t="s">
        <v>2253</v>
      </c>
    </row>
    <row r="243" spans="1:10" x14ac:dyDescent="0.25">
      <c r="A243">
        <v>11583</v>
      </c>
      <c r="B243">
        <f>VLOOKUP(A243,'Suc BD'!A:A,1,FALSE)</f>
        <v>11583</v>
      </c>
      <c r="C243" t="s">
        <v>1986</v>
      </c>
      <c r="D243" t="s">
        <v>10</v>
      </c>
      <c r="E243" t="s">
        <v>2380</v>
      </c>
      <c r="F243" t="s">
        <v>618</v>
      </c>
      <c r="G243" t="s">
        <v>2176</v>
      </c>
      <c r="H243" t="s">
        <v>11</v>
      </c>
      <c r="I243" s="31" t="s">
        <v>2214</v>
      </c>
      <c r="J243" t="s">
        <v>2253</v>
      </c>
    </row>
    <row r="244" spans="1:10" x14ac:dyDescent="0.25">
      <c r="A244">
        <v>11238</v>
      </c>
      <c r="B244">
        <f>VLOOKUP(A244,'Suc BD'!A:A,1,FALSE)</f>
        <v>11238</v>
      </c>
      <c r="C244" t="s">
        <v>947</v>
      </c>
      <c r="D244" t="s">
        <v>14</v>
      </c>
      <c r="E244" t="s">
        <v>950</v>
      </c>
      <c r="F244" t="s">
        <v>951</v>
      </c>
      <c r="G244" t="s">
        <v>2189</v>
      </c>
      <c r="H244" t="s">
        <v>15</v>
      </c>
      <c r="I244" s="31" t="s">
        <v>2216</v>
      </c>
      <c r="J244" t="s">
        <v>2253</v>
      </c>
    </row>
    <row r="245" spans="1:10" x14ac:dyDescent="0.25">
      <c r="A245">
        <v>11476</v>
      </c>
      <c r="B245">
        <f>VLOOKUP(A245,'Suc BD'!A:A,1,FALSE)</f>
        <v>11476</v>
      </c>
      <c r="C245" t="s">
        <v>140</v>
      </c>
      <c r="D245" t="s">
        <v>8</v>
      </c>
      <c r="E245" t="s">
        <v>2270</v>
      </c>
      <c r="F245" t="s">
        <v>111</v>
      </c>
      <c r="G245" t="s">
        <v>2166</v>
      </c>
      <c r="H245" t="s">
        <v>9</v>
      </c>
      <c r="I245" s="31" t="s">
        <v>2213</v>
      </c>
      <c r="J245" t="s">
        <v>2253</v>
      </c>
    </row>
    <row r="246" spans="1:10" x14ac:dyDescent="0.25">
      <c r="A246">
        <v>12319</v>
      </c>
      <c r="B246">
        <f>VLOOKUP(A246,'Suc BD'!A:A,1,FALSE)</f>
        <v>12319</v>
      </c>
      <c r="C246" t="s">
        <v>2000</v>
      </c>
      <c r="D246" t="s">
        <v>10</v>
      </c>
      <c r="E246" t="s">
        <v>2395</v>
      </c>
      <c r="F246" t="s">
        <v>588</v>
      </c>
      <c r="G246" t="s">
        <v>2177</v>
      </c>
      <c r="H246" t="s">
        <v>11</v>
      </c>
      <c r="I246" s="31" t="s">
        <v>2214</v>
      </c>
      <c r="J246" t="s">
        <v>2253</v>
      </c>
    </row>
    <row r="247" spans="1:10" x14ac:dyDescent="0.25">
      <c r="A247">
        <v>11631</v>
      </c>
      <c r="B247">
        <f>VLOOKUP(A247,'Suc BD'!A:A,1,FALSE)</f>
        <v>11631</v>
      </c>
      <c r="C247" t="s">
        <v>148</v>
      </c>
      <c r="D247" t="s">
        <v>8</v>
      </c>
      <c r="E247" t="s">
        <v>2272</v>
      </c>
      <c r="F247" t="s">
        <v>111</v>
      </c>
      <c r="G247" t="s">
        <v>2166</v>
      </c>
      <c r="H247" t="s">
        <v>9</v>
      </c>
      <c r="I247" s="31" t="s">
        <v>2213</v>
      </c>
      <c r="J247" t="s">
        <v>2253</v>
      </c>
    </row>
    <row r="248" spans="1:10" x14ac:dyDescent="0.25">
      <c r="A248">
        <v>11002</v>
      </c>
      <c r="B248">
        <f>VLOOKUP(A248,'Suc BD'!A:A,1,FALSE)</f>
        <v>11002</v>
      </c>
      <c r="C248" t="s">
        <v>1742</v>
      </c>
      <c r="D248" t="s">
        <v>18</v>
      </c>
      <c r="E248" t="s">
        <v>2462</v>
      </c>
      <c r="F248" t="s">
        <v>1849</v>
      </c>
      <c r="G248" t="s">
        <v>2208</v>
      </c>
      <c r="H248" t="s">
        <v>395</v>
      </c>
      <c r="I248" s="31" t="s">
        <v>99</v>
      </c>
      <c r="J248" t="s">
        <v>2253</v>
      </c>
    </row>
    <row r="249" spans="1:10" x14ac:dyDescent="0.25">
      <c r="A249">
        <v>11083</v>
      </c>
      <c r="B249">
        <f>VLOOKUP(A249,'Suc BD'!A:A,1,FALSE)</f>
        <v>11083</v>
      </c>
      <c r="C249" t="s">
        <v>1116</v>
      </c>
      <c r="D249" t="s">
        <v>14</v>
      </c>
      <c r="E249" t="s">
        <v>1117</v>
      </c>
      <c r="F249" t="s">
        <v>1118</v>
      </c>
      <c r="G249" t="s">
        <v>2192</v>
      </c>
      <c r="H249" t="s">
        <v>15</v>
      </c>
      <c r="I249" s="31" t="s">
        <v>2216</v>
      </c>
      <c r="J249" t="s">
        <v>2253</v>
      </c>
    </row>
    <row r="250" spans="1:10" x14ac:dyDescent="0.25">
      <c r="A250">
        <v>11477</v>
      </c>
      <c r="B250">
        <f>VLOOKUP(A250,'Suc BD'!A:A,1,FALSE)</f>
        <v>11477</v>
      </c>
      <c r="C250" t="s">
        <v>382</v>
      </c>
      <c r="D250" t="s">
        <v>8</v>
      </c>
      <c r="E250" t="s">
        <v>2341</v>
      </c>
      <c r="F250" t="s">
        <v>361</v>
      </c>
      <c r="G250" t="s">
        <v>2171</v>
      </c>
      <c r="H250" t="s">
        <v>9</v>
      </c>
      <c r="I250" s="31" t="s">
        <v>2213</v>
      </c>
      <c r="J250" t="s">
        <v>2253</v>
      </c>
    </row>
    <row r="251" spans="1:10" x14ac:dyDescent="0.25">
      <c r="A251">
        <v>11626</v>
      </c>
      <c r="B251">
        <f>VLOOKUP(A251,'Suc BD'!A:A,1,FALSE)</f>
        <v>11626</v>
      </c>
      <c r="C251" t="s">
        <v>301</v>
      </c>
      <c r="D251" t="s">
        <v>8</v>
      </c>
      <c r="E251" t="s">
        <v>2313</v>
      </c>
      <c r="F251" t="s">
        <v>275</v>
      </c>
      <c r="G251" t="s">
        <v>2169</v>
      </c>
      <c r="H251" t="s">
        <v>9</v>
      </c>
      <c r="I251" s="31" t="s">
        <v>2213</v>
      </c>
      <c r="J251" t="s">
        <v>2253</v>
      </c>
    </row>
    <row r="252" spans="1:10" x14ac:dyDescent="0.25">
      <c r="A252">
        <v>11439</v>
      </c>
      <c r="B252">
        <f>VLOOKUP(A252,'Suc BD'!A:A,1,FALSE)</f>
        <v>11439</v>
      </c>
      <c r="C252" t="s">
        <v>1247</v>
      </c>
      <c r="D252" t="s">
        <v>14</v>
      </c>
      <c r="E252" t="s">
        <v>1957</v>
      </c>
      <c r="F252" t="s">
        <v>1238</v>
      </c>
      <c r="G252" t="s">
        <v>2195</v>
      </c>
      <c r="H252" t="s">
        <v>15</v>
      </c>
      <c r="I252" s="31" t="s">
        <v>2216</v>
      </c>
      <c r="J252" t="s">
        <v>2253</v>
      </c>
    </row>
    <row r="253" spans="1:10" x14ac:dyDescent="0.25">
      <c r="A253">
        <v>11271</v>
      </c>
      <c r="B253">
        <f>VLOOKUP(A253,'Suc BD'!A:A,1,FALSE)</f>
        <v>11271</v>
      </c>
      <c r="C253" t="s">
        <v>927</v>
      </c>
      <c r="D253" t="s">
        <v>12</v>
      </c>
      <c r="E253" t="s">
        <v>2071</v>
      </c>
      <c r="F253" t="s">
        <v>920</v>
      </c>
      <c r="G253" t="s">
        <v>2188</v>
      </c>
      <c r="H253" t="s">
        <v>13</v>
      </c>
      <c r="I253" s="31" t="s">
        <v>2215</v>
      </c>
      <c r="J253" t="s">
        <v>2253</v>
      </c>
    </row>
    <row r="254" spans="1:10" x14ac:dyDescent="0.25">
      <c r="A254">
        <v>11147</v>
      </c>
      <c r="B254">
        <f>VLOOKUP(A254,'Suc BD'!A:A,1,FALSE)</f>
        <v>11147</v>
      </c>
      <c r="C254" t="s">
        <v>1705</v>
      </c>
      <c r="D254" t="s">
        <v>18</v>
      </c>
      <c r="E254" t="s">
        <v>1707</v>
      </c>
      <c r="F254" t="s">
        <v>1708</v>
      </c>
      <c r="G254" t="s">
        <v>2206</v>
      </c>
      <c r="H254" t="s">
        <v>395</v>
      </c>
      <c r="I254" s="31" t="s">
        <v>99</v>
      </c>
      <c r="J254" t="s">
        <v>2253</v>
      </c>
    </row>
    <row r="255" spans="1:10" x14ac:dyDescent="0.25">
      <c r="A255">
        <v>11145</v>
      </c>
      <c r="B255">
        <f>VLOOKUP(A255,'Suc BD'!A:A,1,FALSE)</f>
        <v>11145</v>
      </c>
      <c r="C255" t="s">
        <v>1128</v>
      </c>
      <c r="D255" t="s">
        <v>14</v>
      </c>
      <c r="E255" t="s">
        <v>1129</v>
      </c>
      <c r="F255" t="s">
        <v>1118</v>
      </c>
      <c r="G255" t="s">
        <v>2192</v>
      </c>
      <c r="H255" t="s">
        <v>15</v>
      </c>
      <c r="I255" s="31" t="s">
        <v>2216</v>
      </c>
      <c r="J255" t="s">
        <v>2253</v>
      </c>
    </row>
    <row r="256" spans="1:10" x14ac:dyDescent="0.25">
      <c r="A256">
        <v>12354</v>
      </c>
      <c r="B256">
        <f>VLOOKUP(A256,'Suc BD'!A:A,1,FALSE)</f>
        <v>12354</v>
      </c>
      <c r="C256" t="s">
        <v>1977</v>
      </c>
      <c r="D256" t="s">
        <v>10</v>
      </c>
      <c r="E256" t="s">
        <v>2367</v>
      </c>
      <c r="F256" t="s">
        <v>489</v>
      </c>
      <c r="G256" t="s">
        <v>2174</v>
      </c>
      <c r="H256" t="s">
        <v>11</v>
      </c>
      <c r="I256" s="31" t="s">
        <v>2214</v>
      </c>
      <c r="J256" t="s">
        <v>2253</v>
      </c>
    </row>
    <row r="257" spans="1:10" x14ac:dyDescent="0.25">
      <c r="A257">
        <v>11205</v>
      </c>
      <c r="B257">
        <f>VLOOKUP(A257,'Suc BD'!A:A,1,FALSE)</f>
        <v>11205</v>
      </c>
      <c r="C257" t="s">
        <v>1532</v>
      </c>
      <c r="D257" t="s">
        <v>16</v>
      </c>
      <c r="E257" t="s">
        <v>1533</v>
      </c>
      <c r="F257" t="s">
        <v>1528</v>
      </c>
      <c r="G257" t="s">
        <v>2202</v>
      </c>
      <c r="H257" t="s">
        <v>17</v>
      </c>
      <c r="I257" s="31" t="s">
        <v>2217</v>
      </c>
      <c r="J257" t="s">
        <v>2253</v>
      </c>
    </row>
    <row r="258" spans="1:10" x14ac:dyDescent="0.25">
      <c r="A258">
        <v>11831</v>
      </c>
      <c r="B258">
        <f>VLOOKUP(A258,'Suc BD'!A:A,1,FALSE)</f>
        <v>11831</v>
      </c>
      <c r="C258" t="s">
        <v>1558</v>
      </c>
      <c r="D258" t="s">
        <v>16</v>
      </c>
      <c r="E258" t="s">
        <v>2145</v>
      </c>
      <c r="F258" t="s">
        <v>1528</v>
      </c>
      <c r="G258" t="s">
        <v>2202</v>
      </c>
      <c r="H258" t="s">
        <v>17</v>
      </c>
      <c r="I258" s="31" t="s">
        <v>2217</v>
      </c>
      <c r="J258" t="s">
        <v>2253</v>
      </c>
    </row>
    <row r="259" spans="1:10" x14ac:dyDescent="0.25">
      <c r="A259">
        <v>11615</v>
      </c>
      <c r="B259">
        <f>VLOOKUP(A259,'Suc BD'!A:A,1,FALSE)</f>
        <v>11615</v>
      </c>
      <c r="C259" t="s">
        <v>1256</v>
      </c>
      <c r="D259" t="s">
        <v>14</v>
      </c>
      <c r="E259" t="s">
        <v>1257</v>
      </c>
      <c r="F259" t="s">
        <v>1238</v>
      </c>
      <c r="G259" t="s">
        <v>2195</v>
      </c>
      <c r="H259" t="s">
        <v>15</v>
      </c>
      <c r="I259" s="31" t="s">
        <v>2216</v>
      </c>
      <c r="J259" t="s">
        <v>2253</v>
      </c>
    </row>
    <row r="260" spans="1:10" x14ac:dyDescent="0.25">
      <c r="A260">
        <v>12381</v>
      </c>
      <c r="B260" t="e">
        <f>VLOOKUP(A260,'Suc BD'!A:A,1,FALSE)</f>
        <v>#N/A</v>
      </c>
      <c r="C260" t="s">
        <v>2238</v>
      </c>
      <c r="D260" t="s">
        <v>12</v>
      </c>
      <c r="E260" t="s">
        <v>2054</v>
      </c>
      <c r="F260" t="s">
        <v>920</v>
      </c>
      <c r="G260" t="s">
        <v>2188</v>
      </c>
      <c r="H260" t="s">
        <v>13</v>
      </c>
      <c r="I260" s="31" t="s">
        <v>2215</v>
      </c>
      <c r="J260" t="s">
        <v>2253</v>
      </c>
    </row>
    <row r="261" spans="1:10" x14ac:dyDescent="0.25">
      <c r="A261">
        <v>11121</v>
      </c>
      <c r="B261">
        <f>VLOOKUP(A261,'Suc BD'!A:A,1,FALSE)</f>
        <v>11121</v>
      </c>
      <c r="C261" t="s">
        <v>2011</v>
      </c>
      <c r="D261" t="s">
        <v>10</v>
      </c>
      <c r="E261" t="s">
        <v>2408</v>
      </c>
      <c r="F261" t="s">
        <v>529</v>
      </c>
      <c r="G261" t="s">
        <v>2179</v>
      </c>
      <c r="H261" t="s">
        <v>11</v>
      </c>
      <c r="I261" s="31" t="s">
        <v>2214</v>
      </c>
      <c r="J261" t="s">
        <v>2253</v>
      </c>
    </row>
    <row r="262" spans="1:10" x14ac:dyDescent="0.25">
      <c r="A262">
        <v>11023</v>
      </c>
      <c r="B262">
        <f>VLOOKUP(A262,'Suc BD'!A:A,1,FALSE)</f>
        <v>11023</v>
      </c>
      <c r="C262" t="s">
        <v>2033</v>
      </c>
      <c r="D262" t="s">
        <v>10</v>
      </c>
      <c r="E262" t="s">
        <v>2436</v>
      </c>
      <c r="F262" t="s">
        <v>555</v>
      </c>
      <c r="G262" t="s">
        <v>2182</v>
      </c>
      <c r="H262" t="s">
        <v>11</v>
      </c>
      <c r="I262" s="31" t="s">
        <v>2214</v>
      </c>
      <c r="J262" t="s">
        <v>2253</v>
      </c>
    </row>
    <row r="263" spans="1:10" x14ac:dyDescent="0.25">
      <c r="A263">
        <v>11645</v>
      </c>
      <c r="B263">
        <f>VLOOKUP(A263,'Suc BD'!A:A,1,FALSE)</f>
        <v>11645</v>
      </c>
      <c r="C263" t="s">
        <v>1885</v>
      </c>
      <c r="D263" t="s">
        <v>18</v>
      </c>
      <c r="E263" t="s">
        <v>1886</v>
      </c>
      <c r="F263" t="s">
        <v>1806</v>
      </c>
      <c r="G263" t="s">
        <v>2207</v>
      </c>
      <c r="H263" t="s">
        <v>395</v>
      </c>
      <c r="I263" s="31" t="s">
        <v>99</v>
      </c>
      <c r="J263" t="s">
        <v>2253</v>
      </c>
    </row>
    <row r="264" spans="1:10" x14ac:dyDescent="0.25">
      <c r="A264">
        <v>11427</v>
      </c>
      <c r="B264">
        <f>VLOOKUP(A264,'Suc BD'!A:A,1,FALSE)</f>
        <v>11427</v>
      </c>
      <c r="C264" t="s">
        <v>1446</v>
      </c>
      <c r="D264" t="s">
        <v>16</v>
      </c>
      <c r="E264" t="s">
        <v>1447</v>
      </c>
      <c r="F264" t="s">
        <v>1431</v>
      </c>
      <c r="G264" t="s">
        <v>2200</v>
      </c>
      <c r="H264" t="s">
        <v>17</v>
      </c>
      <c r="I264" s="31" t="s">
        <v>2217</v>
      </c>
      <c r="J264" t="s">
        <v>2253</v>
      </c>
    </row>
    <row r="265" spans="1:10" x14ac:dyDescent="0.25">
      <c r="A265">
        <v>11469</v>
      </c>
      <c r="B265">
        <f>VLOOKUP(A265,'Suc BD'!A:A,1,FALSE)</f>
        <v>11469</v>
      </c>
      <c r="C265" t="s">
        <v>1184</v>
      </c>
      <c r="D265" t="s">
        <v>14</v>
      </c>
      <c r="E265" t="s">
        <v>1185</v>
      </c>
      <c r="F265" t="s">
        <v>1164</v>
      </c>
      <c r="G265" t="s">
        <v>2193</v>
      </c>
      <c r="H265" t="s">
        <v>15</v>
      </c>
      <c r="I265" s="31" t="s">
        <v>2216</v>
      </c>
      <c r="J265" t="s">
        <v>2253</v>
      </c>
    </row>
    <row r="266" spans="1:10" x14ac:dyDescent="0.25">
      <c r="A266">
        <v>11424</v>
      </c>
      <c r="B266">
        <f>VLOOKUP(A266,'Suc BD'!A:A,1,FALSE)</f>
        <v>11424</v>
      </c>
      <c r="C266" t="s">
        <v>132</v>
      </c>
      <c r="D266" t="s">
        <v>8</v>
      </c>
      <c r="E266" t="s">
        <v>2268</v>
      </c>
      <c r="F266" t="s">
        <v>111</v>
      </c>
      <c r="G266" t="s">
        <v>2166</v>
      </c>
      <c r="H266" t="s">
        <v>9</v>
      </c>
      <c r="I266" s="31" t="s">
        <v>2213</v>
      </c>
      <c r="J266" t="s">
        <v>2253</v>
      </c>
    </row>
    <row r="267" spans="1:10" x14ac:dyDescent="0.25">
      <c r="A267">
        <v>11989</v>
      </c>
      <c r="B267">
        <f>VLOOKUP(A267,'Suc BD'!A:A,1,FALSE)</f>
        <v>11989</v>
      </c>
      <c r="C267" t="s">
        <v>1646</v>
      </c>
      <c r="D267" t="s">
        <v>16</v>
      </c>
      <c r="E267" t="s">
        <v>1647</v>
      </c>
      <c r="F267" t="s">
        <v>1607</v>
      </c>
      <c r="G267" t="s">
        <v>2204</v>
      </c>
      <c r="H267" t="s">
        <v>17</v>
      </c>
      <c r="I267" s="31" t="s">
        <v>2217</v>
      </c>
      <c r="J267" t="s">
        <v>2253</v>
      </c>
    </row>
    <row r="268" spans="1:10" x14ac:dyDescent="0.25">
      <c r="A268">
        <v>11606</v>
      </c>
      <c r="B268">
        <f>VLOOKUP(A268,'Suc BD'!A:A,1,FALSE)</f>
        <v>11606</v>
      </c>
      <c r="C268" t="s">
        <v>846</v>
      </c>
      <c r="D268" t="s">
        <v>12</v>
      </c>
      <c r="E268" t="s">
        <v>2057</v>
      </c>
      <c r="F268" t="s">
        <v>820</v>
      </c>
      <c r="G268" t="s">
        <v>2185</v>
      </c>
      <c r="H268" t="s">
        <v>13</v>
      </c>
      <c r="I268" s="31" t="s">
        <v>2215</v>
      </c>
      <c r="J268" t="s">
        <v>2253</v>
      </c>
    </row>
    <row r="269" spans="1:10" x14ac:dyDescent="0.25">
      <c r="A269">
        <v>11333</v>
      </c>
      <c r="B269">
        <f>VLOOKUP(A269,'Suc BD'!A:A,1,FALSE)</f>
        <v>11333</v>
      </c>
      <c r="C269" t="s">
        <v>1398</v>
      </c>
      <c r="D269" t="s">
        <v>16</v>
      </c>
      <c r="E269" t="s">
        <v>1399</v>
      </c>
      <c r="F269" t="s">
        <v>1388</v>
      </c>
      <c r="G269" t="s">
        <v>2199</v>
      </c>
      <c r="H269" t="s">
        <v>17</v>
      </c>
      <c r="I269" s="31" t="s">
        <v>2217</v>
      </c>
      <c r="J269" t="s">
        <v>2253</v>
      </c>
    </row>
    <row r="270" spans="1:10" x14ac:dyDescent="0.25">
      <c r="A270">
        <v>11180</v>
      </c>
      <c r="B270">
        <f>VLOOKUP(A270,'Suc BD'!A:A,1,FALSE)</f>
        <v>11180</v>
      </c>
      <c r="C270" t="s">
        <v>1210</v>
      </c>
      <c r="D270" t="s">
        <v>14</v>
      </c>
      <c r="E270" t="s">
        <v>2113</v>
      </c>
      <c r="F270" t="s">
        <v>1205</v>
      </c>
      <c r="G270" t="s">
        <v>2194</v>
      </c>
      <c r="H270" t="s">
        <v>15</v>
      </c>
      <c r="I270" s="31" t="s">
        <v>2216</v>
      </c>
      <c r="J270" t="s">
        <v>2253</v>
      </c>
    </row>
    <row r="271" spans="1:10" x14ac:dyDescent="0.25">
      <c r="A271">
        <v>11481</v>
      </c>
      <c r="B271">
        <f>VLOOKUP(A271,'Suc BD'!A:A,1,FALSE)</f>
        <v>11481</v>
      </c>
      <c r="C271" t="s">
        <v>979</v>
      </c>
      <c r="D271" t="s">
        <v>14</v>
      </c>
      <c r="E271" t="s">
        <v>980</v>
      </c>
      <c r="F271" t="s">
        <v>951</v>
      </c>
      <c r="G271" t="s">
        <v>2189</v>
      </c>
      <c r="H271" t="s">
        <v>15</v>
      </c>
      <c r="I271" s="31" t="s">
        <v>2216</v>
      </c>
      <c r="J271" t="s">
        <v>2253</v>
      </c>
    </row>
    <row r="272" spans="1:10" x14ac:dyDescent="0.25">
      <c r="A272">
        <v>11351</v>
      </c>
      <c r="B272">
        <f>VLOOKUP(A272,'Suc BD'!A:A,1,FALSE)</f>
        <v>11351</v>
      </c>
      <c r="C272" t="s">
        <v>1951</v>
      </c>
      <c r="D272" t="s">
        <v>16</v>
      </c>
      <c r="E272" t="s">
        <v>1580</v>
      </c>
      <c r="F272" t="s">
        <v>1568</v>
      </c>
      <c r="G272" t="s">
        <v>2203</v>
      </c>
      <c r="H272" t="s">
        <v>17</v>
      </c>
      <c r="I272" s="31" t="s">
        <v>2217</v>
      </c>
      <c r="J272" t="s">
        <v>2253</v>
      </c>
    </row>
    <row r="273" spans="1:10" x14ac:dyDescent="0.25">
      <c r="A273">
        <v>11197</v>
      </c>
      <c r="B273">
        <f>VLOOKUP(A273,'Suc BD'!A:A,1,FALSE)</f>
        <v>11197</v>
      </c>
      <c r="C273" t="s">
        <v>1994</v>
      </c>
      <c r="D273" t="s">
        <v>10</v>
      </c>
      <c r="E273" t="s">
        <v>2389</v>
      </c>
      <c r="F273" t="s">
        <v>588</v>
      </c>
      <c r="G273" t="s">
        <v>2177</v>
      </c>
      <c r="H273" t="s">
        <v>11</v>
      </c>
      <c r="I273" s="31" t="s">
        <v>2214</v>
      </c>
      <c r="J273" t="s">
        <v>2253</v>
      </c>
    </row>
    <row r="274" spans="1:10" x14ac:dyDescent="0.25">
      <c r="A274">
        <v>11949</v>
      </c>
      <c r="B274">
        <f>VLOOKUP(A274,'Suc BD'!A:A,1,FALSE)</f>
        <v>11949</v>
      </c>
      <c r="C274" t="s">
        <v>191</v>
      </c>
      <c r="D274" t="s">
        <v>8</v>
      </c>
      <c r="E274" t="s">
        <v>2283</v>
      </c>
      <c r="F274" t="s">
        <v>158</v>
      </c>
      <c r="G274" t="s">
        <v>2167</v>
      </c>
      <c r="H274" t="s">
        <v>9</v>
      </c>
      <c r="I274" s="31" t="s">
        <v>2213</v>
      </c>
      <c r="J274" t="s">
        <v>2253</v>
      </c>
    </row>
    <row r="275" spans="1:10" x14ac:dyDescent="0.25">
      <c r="A275">
        <v>11164</v>
      </c>
      <c r="B275">
        <f>VLOOKUP(A275,'Suc BD'!A:A,1,FALSE)</f>
        <v>11164</v>
      </c>
      <c r="C275" t="s">
        <v>366</v>
      </c>
      <c r="D275" t="s">
        <v>8</v>
      </c>
      <c r="E275" t="s">
        <v>2337</v>
      </c>
      <c r="F275" t="s">
        <v>361</v>
      </c>
      <c r="G275" t="s">
        <v>2171</v>
      </c>
      <c r="H275" t="s">
        <v>9</v>
      </c>
      <c r="I275" s="31" t="s">
        <v>2213</v>
      </c>
      <c r="J275" t="s">
        <v>2253</v>
      </c>
    </row>
    <row r="276" spans="1:10" x14ac:dyDescent="0.25">
      <c r="A276">
        <v>11283</v>
      </c>
      <c r="B276">
        <f>VLOOKUP(A276,'Suc BD'!A:A,1,FALSE)</f>
        <v>11283</v>
      </c>
      <c r="C276" t="s">
        <v>900</v>
      </c>
      <c r="D276" t="s">
        <v>12</v>
      </c>
      <c r="E276" t="s">
        <v>2066</v>
      </c>
      <c r="F276" t="s">
        <v>897</v>
      </c>
      <c r="G276" t="s">
        <v>2187</v>
      </c>
      <c r="H276" t="s">
        <v>13</v>
      </c>
      <c r="I276" s="31" t="s">
        <v>2215</v>
      </c>
      <c r="J276" t="s">
        <v>2253</v>
      </c>
    </row>
    <row r="277" spans="1:10" x14ac:dyDescent="0.25">
      <c r="A277">
        <v>11281</v>
      </c>
      <c r="B277">
        <f>VLOOKUP(A277,'Suc BD'!A:A,1,FALSE)</f>
        <v>11281</v>
      </c>
      <c r="C277" t="s">
        <v>785</v>
      </c>
      <c r="D277" t="s">
        <v>12</v>
      </c>
      <c r="E277" t="s">
        <v>2047</v>
      </c>
      <c r="F277" t="s">
        <v>773</v>
      </c>
      <c r="G277" t="s">
        <v>2183</v>
      </c>
      <c r="H277" t="s">
        <v>13</v>
      </c>
      <c r="I277" s="31" t="s">
        <v>2215</v>
      </c>
      <c r="J277" t="s">
        <v>2253</v>
      </c>
    </row>
    <row r="278" spans="1:10" x14ac:dyDescent="0.25">
      <c r="A278">
        <v>12350</v>
      </c>
      <c r="B278">
        <f>VLOOKUP(A278,'Suc BD'!A:A,1,FALSE)</f>
        <v>12350</v>
      </c>
      <c r="C278" t="s">
        <v>2023</v>
      </c>
      <c r="D278" t="s">
        <v>10</v>
      </c>
      <c r="E278" t="s">
        <v>2425</v>
      </c>
      <c r="F278" t="s">
        <v>675</v>
      </c>
      <c r="G278" t="s">
        <v>2180</v>
      </c>
      <c r="H278" t="s">
        <v>11</v>
      </c>
      <c r="I278" s="31" t="s">
        <v>2214</v>
      </c>
      <c r="J278" t="s">
        <v>2253</v>
      </c>
    </row>
    <row r="279" spans="1:10" x14ac:dyDescent="0.25">
      <c r="A279">
        <v>11143</v>
      </c>
      <c r="B279">
        <f>VLOOKUP(A279,'Suc BD'!A:A,1,FALSE)</f>
        <v>11143</v>
      </c>
      <c r="C279" t="s">
        <v>403</v>
      </c>
      <c r="D279" t="s">
        <v>8</v>
      </c>
      <c r="E279" t="s">
        <v>2297</v>
      </c>
      <c r="F279" t="s">
        <v>242</v>
      </c>
      <c r="G279" t="s">
        <v>2172</v>
      </c>
      <c r="H279" t="s">
        <v>9</v>
      </c>
      <c r="I279" s="31" t="s">
        <v>2213</v>
      </c>
      <c r="J279" t="s">
        <v>2253</v>
      </c>
    </row>
    <row r="280" spans="1:10" x14ac:dyDescent="0.25">
      <c r="A280">
        <v>11013</v>
      </c>
      <c r="B280">
        <f>VLOOKUP(A280,'Suc BD'!A:A,1,FALSE)</f>
        <v>11013</v>
      </c>
      <c r="C280" t="s">
        <v>1991</v>
      </c>
      <c r="D280" t="s">
        <v>10</v>
      </c>
      <c r="E280" t="s">
        <v>2386</v>
      </c>
      <c r="F280" t="s">
        <v>588</v>
      </c>
      <c r="G280" t="s">
        <v>2177</v>
      </c>
      <c r="H280" t="s">
        <v>11</v>
      </c>
      <c r="I280" s="31" t="s">
        <v>2214</v>
      </c>
      <c r="J280" t="s">
        <v>2253</v>
      </c>
    </row>
    <row r="281" spans="1:10" x14ac:dyDescent="0.25">
      <c r="A281">
        <v>11031</v>
      </c>
      <c r="B281">
        <f>VLOOKUP(A281,'Suc BD'!A:A,1,FALSE)</f>
        <v>11031</v>
      </c>
      <c r="C281" t="s">
        <v>1059</v>
      </c>
      <c r="D281" t="s">
        <v>14</v>
      </c>
      <c r="E281" t="s">
        <v>1096</v>
      </c>
      <c r="F281" t="s">
        <v>1061</v>
      </c>
      <c r="G281" t="s">
        <v>2191</v>
      </c>
      <c r="H281" t="s">
        <v>15</v>
      </c>
      <c r="I281" s="31" t="s">
        <v>2216</v>
      </c>
      <c r="J281" t="s">
        <v>2253</v>
      </c>
    </row>
    <row r="282" spans="1:10" x14ac:dyDescent="0.25">
      <c r="A282">
        <v>11810</v>
      </c>
      <c r="B282">
        <f>VLOOKUP(A282,'Suc BD'!A:A,1,FALSE)</f>
        <v>11810</v>
      </c>
      <c r="C282" t="s">
        <v>1307</v>
      </c>
      <c r="D282" t="s">
        <v>14</v>
      </c>
      <c r="E282" t="s">
        <v>2116</v>
      </c>
      <c r="F282" t="s">
        <v>1271</v>
      </c>
      <c r="G282" t="s">
        <v>2196</v>
      </c>
      <c r="H282" t="s">
        <v>15</v>
      </c>
      <c r="I282" s="31" t="s">
        <v>2216</v>
      </c>
      <c r="J282" t="s">
        <v>2253</v>
      </c>
    </row>
    <row r="283" spans="1:10" x14ac:dyDescent="0.25">
      <c r="A283">
        <v>11577</v>
      </c>
      <c r="B283">
        <f>VLOOKUP(A283,'Suc BD'!A:A,1,FALSE)</f>
        <v>11577</v>
      </c>
      <c r="C283" t="s">
        <v>989</v>
      </c>
      <c r="D283" t="s">
        <v>14</v>
      </c>
      <c r="E283" t="s">
        <v>2126</v>
      </c>
      <c r="F283" t="s">
        <v>951</v>
      </c>
      <c r="G283" t="s">
        <v>2189</v>
      </c>
      <c r="H283" t="s">
        <v>15</v>
      </c>
      <c r="I283" s="31" t="s">
        <v>2216</v>
      </c>
      <c r="J283" t="s">
        <v>2253</v>
      </c>
    </row>
    <row r="284" spans="1:10" x14ac:dyDescent="0.25">
      <c r="A284">
        <v>11262</v>
      </c>
      <c r="B284">
        <f>VLOOKUP(A284,'Suc BD'!A:A,1,FALSE)</f>
        <v>11262</v>
      </c>
      <c r="C284" t="s">
        <v>1950</v>
      </c>
      <c r="D284" t="s">
        <v>16</v>
      </c>
      <c r="E284" t="s">
        <v>1576</v>
      </c>
      <c r="F284" t="s">
        <v>1568</v>
      </c>
      <c r="G284" t="s">
        <v>2203</v>
      </c>
      <c r="H284" t="s">
        <v>17</v>
      </c>
      <c r="I284" s="31" t="s">
        <v>2217</v>
      </c>
      <c r="J284" t="s">
        <v>2253</v>
      </c>
    </row>
    <row r="285" spans="1:10" x14ac:dyDescent="0.25">
      <c r="A285">
        <v>11604</v>
      </c>
      <c r="B285">
        <f>VLOOKUP(A285,'Suc BD'!A:A,1,FALSE)</f>
        <v>11604</v>
      </c>
      <c r="C285" t="s">
        <v>1688</v>
      </c>
      <c r="D285" t="s">
        <v>16</v>
      </c>
      <c r="E285" t="s">
        <v>1689</v>
      </c>
      <c r="F285" t="s">
        <v>1658</v>
      </c>
      <c r="G285" t="s">
        <v>2205</v>
      </c>
      <c r="H285" t="s">
        <v>17</v>
      </c>
      <c r="I285" s="31" t="s">
        <v>2217</v>
      </c>
      <c r="J285" t="s">
        <v>2253</v>
      </c>
    </row>
    <row r="286" spans="1:10" x14ac:dyDescent="0.25">
      <c r="A286">
        <v>12346</v>
      </c>
      <c r="B286">
        <f>VLOOKUP(A286,'Suc BD'!A:A,1,FALSE)</f>
        <v>12346</v>
      </c>
      <c r="C286" t="s">
        <v>1702</v>
      </c>
      <c r="D286" t="s">
        <v>16</v>
      </c>
      <c r="E286" t="s">
        <v>2121</v>
      </c>
      <c r="F286" t="s">
        <v>1658</v>
      </c>
      <c r="G286" t="s">
        <v>2205</v>
      </c>
      <c r="H286" t="s">
        <v>17</v>
      </c>
      <c r="I286" s="31" t="s">
        <v>2217</v>
      </c>
      <c r="J286" t="s">
        <v>2253</v>
      </c>
    </row>
    <row r="287" spans="1:10" x14ac:dyDescent="0.25">
      <c r="A287">
        <v>12337</v>
      </c>
      <c r="B287">
        <f>VLOOKUP(A287,'Suc BD'!A:A,1,FALSE)</f>
        <v>12337</v>
      </c>
      <c r="C287" t="s">
        <v>1041</v>
      </c>
      <c r="D287" t="s">
        <v>14</v>
      </c>
      <c r="E287" t="s">
        <v>2110</v>
      </c>
      <c r="F287" t="s">
        <v>1000</v>
      </c>
      <c r="G287" t="s">
        <v>2190</v>
      </c>
      <c r="H287" t="s">
        <v>15</v>
      </c>
      <c r="I287" s="31" t="s">
        <v>2216</v>
      </c>
      <c r="J287" t="s">
        <v>2253</v>
      </c>
    </row>
    <row r="288" spans="1:10" x14ac:dyDescent="0.25">
      <c r="A288">
        <v>11039</v>
      </c>
      <c r="B288">
        <f>VLOOKUP(A288,'Suc BD'!A:A,1,FALSE)</f>
        <v>11039</v>
      </c>
      <c r="C288" t="s">
        <v>1656</v>
      </c>
      <c r="D288" t="s">
        <v>16</v>
      </c>
      <c r="E288" t="s">
        <v>1657</v>
      </c>
      <c r="F288" t="s">
        <v>1658</v>
      </c>
      <c r="G288" t="s">
        <v>2205</v>
      </c>
      <c r="H288" t="s">
        <v>17</v>
      </c>
      <c r="I288" s="31" t="s">
        <v>2217</v>
      </c>
      <c r="J288" t="s">
        <v>2253</v>
      </c>
    </row>
    <row r="289" spans="1:10" x14ac:dyDescent="0.25">
      <c r="A289">
        <v>11109</v>
      </c>
      <c r="B289">
        <f>VLOOKUP(A289,'Suc BD'!A:A,1,FALSE)</f>
        <v>11109</v>
      </c>
      <c r="C289" t="s">
        <v>1526</v>
      </c>
      <c r="D289" t="s">
        <v>16</v>
      </c>
      <c r="E289" t="s">
        <v>1527</v>
      </c>
      <c r="F289" t="s">
        <v>1528</v>
      </c>
      <c r="G289" t="s">
        <v>2202</v>
      </c>
      <c r="H289" t="s">
        <v>17</v>
      </c>
      <c r="I289" s="31" t="s">
        <v>2217</v>
      </c>
      <c r="J289" t="s">
        <v>2253</v>
      </c>
    </row>
    <row r="290" spans="1:10" x14ac:dyDescent="0.25">
      <c r="A290">
        <v>11928</v>
      </c>
      <c r="B290">
        <f>VLOOKUP(A290,'Suc BD'!A:A,1,FALSE)</f>
        <v>11928</v>
      </c>
      <c r="C290" t="s">
        <v>262</v>
      </c>
      <c r="D290" t="s">
        <v>8</v>
      </c>
      <c r="E290" t="s">
        <v>2334</v>
      </c>
      <c r="F290" t="s">
        <v>2237</v>
      </c>
      <c r="G290" t="s">
        <v>53</v>
      </c>
      <c r="H290" t="s">
        <v>9</v>
      </c>
      <c r="I290" s="31" t="s">
        <v>2213</v>
      </c>
      <c r="J290" t="s">
        <v>2253</v>
      </c>
    </row>
    <row r="291" spans="1:10" x14ac:dyDescent="0.25">
      <c r="A291">
        <v>11350</v>
      </c>
      <c r="B291">
        <f>VLOOKUP(A291,'Suc BD'!A:A,1,FALSE)</f>
        <v>11350</v>
      </c>
      <c r="C291" t="s">
        <v>1820</v>
      </c>
      <c r="D291" t="s">
        <v>18</v>
      </c>
      <c r="E291" t="s">
        <v>1962</v>
      </c>
      <c r="F291" t="s">
        <v>1908</v>
      </c>
      <c r="G291" t="s">
        <v>2209</v>
      </c>
      <c r="H291" t="s">
        <v>395</v>
      </c>
      <c r="I291" s="31" t="s">
        <v>99</v>
      </c>
      <c r="J291" t="s">
        <v>2253</v>
      </c>
    </row>
    <row r="292" spans="1:10" x14ac:dyDescent="0.25">
      <c r="A292">
        <v>11001</v>
      </c>
      <c r="B292">
        <f>VLOOKUP(A292,'Suc BD'!A:A,1,FALSE)</f>
        <v>11001</v>
      </c>
      <c r="C292" t="s">
        <v>157</v>
      </c>
      <c r="D292" t="s">
        <v>8</v>
      </c>
      <c r="E292" t="s">
        <v>2274</v>
      </c>
      <c r="F292" t="s">
        <v>158</v>
      </c>
      <c r="G292" t="s">
        <v>2167</v>
      </c>
      <c r="H292" t="s">
        <v>9</v>
      </c>
      <c r="I292" s="31" t="s">
        <v>2213</v>
      </c>
      <c r="J292" t="s">
        <v>2253</v>
      </c>
    </row>
    <row r="293" spans="1:10" x14ac:dyDescent="0.25">
      <c r="A293">
        <v>11141</v>
      </c>
      <c r="B293">
        <f>VLOOKUP(A293,'Suc BD'!A:A,1,FALSE)</f>
        <v>11141</v>
      </c>
      <c r="C293" t="s">
        <v>201</v>
      </c>
      <c r="D293" t="s">
        <v>8</v>
      </c>
      <c r="E293" t="s">
        <v>2285</v>
      </c>
      <c r="F293" t="s">
        <v>196</v>
      </c>
      <c r="G293" t="s">
        <v>2168</v>
      </c>
      <c r="H293" t="s">
        <v>9</v>
      </c>
      <c r="I293" s="31" t="s">
        <v>2213</v>
      </c>
      <c r="J293" t="s">
        <v>2253</v>
      </c>
    </row>
    <row r="294" spans="1:10" x14ac:dyDescent="0.25">
      <c r="A294">
        <v>11334</v>
      </c>
      <c r="B294">
        <f>VLOOKUP(A294,'Suc BD'!A:A,1,FALSE)</f>
        <v>11334</v>
      </c>
      <c r="C294" t="s">
        <v>694</v>
      </c>
      <c r="D294" t="s">
        <v>10</v>
      </c>
      <c r="E294" t="s">
        <v>2419</v>
      </c>
      <c r="F294" t="s">
        <v>675</v>
      </c>
      <c r="G294" t="s">
        <v>2180</v>
      </c>
      <c r="H294" t="s">
        <v>11</v>
      </c>
      <c r="I294" s="31" t="s">
        <v>2214</v>
      </c>
      <c r="J294" t="s">
        <v>2253</v>
      </c>
    </row>
    <row r="295" spans="1:10" x14ac:dyDescent="0.25">
      <c r="A295">
        <v>11289</v>
      </c>
      <c r="B295">
        <f>VLOOKUP(A295,'Suc BD'!A:A,1,FALSE)</f>
        <v>11289</v>
      </c>
      <c r="C295" t="s">
        <v>226</v>
      </c>
      <c r="D295" t="s">
        <v>8</v>
      </c>
      <c r="E295" t="s">
        <v>2291</v>
      </c>
      <c r="F295" t="s">
        <v>196</v>
      </c>
      <c r="G295" t="s">
        <v>2168</v>
      </c>
      <c r="H295" t="s">
        <v>9</v>
      </c>
      <c r="I295" s="31" t="s">
        <v>2213</v>
      </c>
      <c r="J295" t="s">
        <v>2253</v>
      </c>
    </row>
    <row r="296" spans="1:10" x14ac:dyDescent="0.25">
      <c r="A296">
        <v>11056</v>
      </c>
      <c r="B296">
        <f>VLOOKUP(A296,'Suc BD'!A:A,1,FALSE)</f>
        <v>11056</v>
      </c>
      <c r="C296" t="s">
        <v>2009</v>
      </c>
      <c r="D296" t="s">
        <v>10</v>
      </c>
      <c r="E296" t="s">
        <v>2406</v>
      </c>
      <c r="F296" t="s">
        <v>529</v>
      </c>
      <c r="G296" t="s">
        <v>2179</v>
      </c>
      <c r="H296" t="s">
        <v>11</v>
      </c>
      <c r="I296" s="31" t="s">
        <v>2214</v>
      </c>
      <c r="J296" t="s">
        <v>2253</v>
      </c>
    </row>
    <row r="297" spans="1:10" x14ac:dyDescent="0.25">
      <c r="A297">
        <v>11425</v>
      </c>
      <c r="B297">
        <f>VLOOKUP(A297,'Suc BD'!A:A,1,FALSE)</f>
        <v>11425</v>
      </c>
      <c r="C297" t="s">
        <v>1584</v>
      </c>
      <c r="D297" t="s">
        <v>16</v>
      </c>
      <c r="E297" t="s">
        <v>1585</v>
      </c>
      <c r="F297" t="s">
        <v>1568</v>
      </c>
      <c r="G297" t="s">
        <v>2203</v>
      </c>
      <c r="H297" t="s">
        <v>17</v>
      </c>
      <c r="I297" s="31" t="s">
        <v>2217</v>
      </c>
      <c r="J297" t="s">
        <v>2253</v>
      </c>
    </row>
    <row r="298" spans="1:10" x14ac:dyDescent="0.25">
      <c r="A298">
        <v>11457</v>
      </c>
      <c r="B298">
        <f>VLOOKUP(A298,'Suc BD'!A:A,1,FALSE)</f>
        <v>11457</v>
      </c>
      <c r="C298" t="s">
        <v>1768</v>
      </c>
      <c r="D298" t="s">
        <v>18</v>
      </c>
      <c r="E298" t="s">
        <v>1769</v>
      </c>
      <c r="F298" t="s">
        <v>1867</v>
      </c>
      <c r="G298" t="s">
        <v>2463</v>
      </c>
      <c r="H298" t="s">
        <v>395</v>
      </c>
      <c r="I298" s="31" t="s">
        <v>99</v>
      </c>
      <c r="J298" t="s">
        <v>2253</v>
      </c>
    </row>
    <row r="299" spans="1:10" x14ac:dyDescent="0.25">
      <c r="A299">
        <v>11332</v>
      </c>
      <c r="B299">
        <f>VLOOKUP(A299,'Suc BD'!A:A,1,FALSE)</f>
        <v>11332</v>
      </c>
      <c r="C299" t="s">
        <v>1621</v>
      </c>
      <c r="D299" t="s">
        <v>16</v>
      </c>
      <c r="E299" t="s">
        <v>1622</v>
      </c>
      <c r="F299" t="s">
        <v>1607</v>
      </c>
      <c r="G299" t="s">
        <v>2204</v>
      </c>
      <c r="H299" t="s">
        <v>17</v>
      </c>
      <c r="I299" s="31" t="s">
        <v>2217</v>
      </c>
      <c r="J299" t="s">
        <v>2253</v>
      </c>
    </row>
    <row r="300" spans="1:10" x14ac:dyDescent="0.25">
      <c r="A300">
        <v>12347</v>
      </c>
      <c r="B300">
        <f>VLOOKUP(A300,'Suc BD'!A:A,1,FALSE)</f>
        <v>12347</v>
      </c>
      <c r="C300" t="s">
        <v>1967</v>
      </c>
      <c r="D300" t="s">
        <v>8</v>
      </c>
      <c r="E300" t="s">
        <v>2316</v>
      </c>
      <c r="F300" t="s">
        <v>275</v>
      </c>
      <c r="G300" t="s">
        <v>2169</v>
      </c>
      <c r="H300" t="s">
        <v>9</v>
      </c>
      <c r="I300" s="31" t="s">
        <v>2213</v>
      </c>
      <c r="J300" t="s">
        <v>2253</v>
      </c>
    </row>
    <row r="301" spans="1:10" x14ac:dyDescent="0.25">
      <c r="A301">
        <v>11011</v>
      </c>
      <c r="B301">
        <f>VLOOKUP(A301,'Suc BD'!A:A,1,FALSE)</f>
        <v>11011</v>
      </c>
      <c r="C301" t="s">
        <v>166</v>
      </c>
      <c r="D301" t="s">
        <v>8</v>
      </c>
      <c r="E301" t="s">
        <v>2276</v>
      </c>
      <c r="F301" t="s">
        <v>158</v>
      </c>
      <c r="G301" t="s">
        <v>2167</v>
      </c>
      <c r="H301" t="s">
        <v>9</v>
      </c>
      <c r="I301" s="31" t="s">
        <v>2213</v>
      </c>
      <c r="J301" t="s">
        <v>2253</v>
      </c>
    </row>
    <row r="302" spans="1:10" x14ac:dyDescent="0.25">
      <c r="A302">
        <v>11897</v>
      </c>
      <c r="B302">
        <f>VLOOKUP(A302,'Suc BD'!A:A,1,FALSE)</f>
        <v>11897</v>
      </c>
      <c r="C302" t="s">
        <v>1152</v>
      </c>
      <c r="D302" t="s">
        <v>14</v>
      </c>
      <c r="E302" t="s">
        <v>2452</v>
      </c>
      <c r="F302" t="s">
        <v>1118</v>
      </c>
      <c r="G302" t="s">
        <v>2192</v>
      </c>
      <c r="H302" t="s">
        <v>15</v>
      </c>
      <c r="I302" s="31" t="s">
        <v>2216</v>
      </c>
      <c r="J302" t="s">
        <v>2253</v>
      </c>
    </row>
    <row r="303" spans="1:10" x14ac:dyDescent="0.25">
      <c r="A303">
        <v>11165</v>
      </c>
      <c r="B303">
        <f>VLOOKUP(A303,'Suc BD'!A:A,1,FALSE)</f>
        <v>11165</v>
      </c>
      <c r="C303" t="s">
        <v>177</v>
      </c>
      <c r="D303" t="s">
        <v>8</v>
      </c>
      <c r="E303" t="s">
        <v>2279</v>
      </c>
      <c r="F303" t="s">
        <v>158</v>
      </c>
      <c r="G303" t="s">
        <v>2167</v>
      </c>
      <c r="H303" t="s">
        <v>9</v>
      </c>
      <c r="I303" s="31" t="s">
        <v>2213</v>
      </c>
      <c r="J303" t="s">
        <v>2253</v>
      </c>
    </row>
    <row r="304" spans="1:10" x14ac:dyDescent="0.25">
      <c r="A304">
        <v>11202</v>
      </c>
      <c r="B304">
        <f>VLOOKUP(A304,'Suc BD'!A:A,1,FALSE)</f>
        <v>11202</v>
      </c>
      <c r="C304" t="s">
        <v>1817</v>
      </c>
      <c r="D304" t="s">
        <v>18</v>
      </c>
      <c r="E304" t="s">
        <v>1964</v>
      </c>
      <c r="F304" t="s">
        <v>1908</v>
      </c>
      <c r="G304" t="s">
        <v>2209</v>
      </c>
      <c r="H304" t="s">
        <v>395</v>
      </c>
      <c r="I304" s="31" t="s">
        <v>99</v>
      </c>
      <c r="J304" t="s">
        <v>2253</v>
      </c>
    </row>
    <row r="305" spans="1:10" x14ac:dyDescent="0.25">
      <c r="A305">
        <v>12342</v>
      </c>
      <c r="B305">
        <f>VLOOKUP(A305,'Suc BD'!A:A,1,FALSE)</f>
        <v>12342</v>
      </c>
      <c r="C305" t="s">
        <v>391</v>
      </c>
      <c r="D305" t="s">
        <v>8</v>
      </c>
      <c r="E305" t="s">
        <v>2343</v>
      </c>
      <c r="F305" t="s">
        <v>361</v>
      </c>
      <c r="G305" t="s">
        <v>2171</v>
      </c>
      <c r="H305" t="s">
        <v>9</v>
      </c>
      <c r="I305" s="31" t="s">
        <v>2213</v>
      </c>
      <c r="J305" t="s">
        <v>2253</v>
      </c>
    </row>
    <row r="306" spans="1:10" x14ac:dyDescent="0.25">
      <c r="A306">
        <v>11489</v>
      </c>
      <c r="B306">
        <f>VLOOKUP(A306,'Suc BD'!A:A,1,FALSE)</f>
        <v>11489</v>
      </c>
      <c r="C306" t="s">
        <v>1952</v>
      </c>
      <c r="D306" t="s">
        <v>16</v>
      </c>
      <c r="E306" t="s">
        <v>1588</v>
      </c>
      <c r="F306" t="s">
        <v>1568</v>
      </c>
      <c r="G306" t="s">
        <v>2203</v>
      </c>
      <c r="H306" t="s">
        <v>17</v>
      </c>
      <c r="I306" s="31" t="s">
        <v>2217</v>
      </c>
      <c r="J306" t="s">
        <v>2253</v>
      </c>
    </row>
    <row r="307" spans="1:10" x14ac:dyDescent="0.25">
      <c r="A307">
        <v>11119</v>
      </c>
      <c r="B307">
        <f>VLOOKUP(A307,'Suc BD'!A:A,1,FALSE)</f>
        <v>11119</v>
      </c>
      <c r="C307" t="s">
        <v>1429</v>
      </c>
      <c r="D307" t="s">
        <v>16</v>
      </c>
      <c r="E307" t="s">
        <v>1430</v>
      </c>
      <c r="F307" t="s">
        <v>1431</v>
      </c>
      <c r="G307" t="s">
        <v>2200</v>
      </c>
      <c r="H307" t="s">
        <v>17</v>
      </c>
      <c r="I307" s="31" t="s">
        <v>2217</v>
      </c>
      <c r="J307" t="s">
        <v>2253</v>
      </c>
    </row>
    <row r="308" spans="1:10" x14ac:dyDescent="0.25">
      <c r="A308">
        <v>11751</v>
      </c>
      <c r="B308">
        <f>VLOOKUP(A308,'Suc BD'!A:A,1,FALSE)</f>
        <v>11751</v>
      </c>
      <c r="C308" t="s">
        <v>66</v>
      </c>
      <c r="D308" t="s">
        <v>8</v>
      </c>
      <c r="E308" t="s">
        <v>2257</v>
      </c>
      <c r="F308" t="s">
        <v>52</v>
      </c>
      <c r="G308" t="s">
        <v>2165</v>
      </c>
      <c r="H308" t="s">
        <v>9</v>
      </c>
      <c r="I308" s="31" t="s">
        <v>2213</v>
      </c>
      <c r="J308" t="s">
        <v>2253</v>
      </c>
    </row>
    <row r="309" spans="1:10" x14ac:dyDescent="0.25">
      <c r="A309">
        <v>11307</v>
      </c>
      <c r="B309">
        <f>VLOOKUP(A309,'Suc BD'!A:A,1,FALSE)</f>
        <v>11307</v>
      </c>
      <c r="C309" t="s">
        <v>2017</v>
      </c>
      <c r="D309" t="s">
        <v>10</v>
      </c>
      <c r="E309" t="s">
        <v>2418</v>
      </c>
      <c r="F309" t="s">
        <v>675</v>
      </c>
      <c r="G309" t="s">
        <v>2180</v>
      </c>
      <c r="H309" t="s">
        <v>11</v>
      </c>
      <c r="I309" s="31" t="s">
        <v>2214</v>
      </c>
      <c r="J309" t="s">
        <v>2253</v>
      </c>
    </row>
    <row r="310" spans="1:10" x14ac:dyDescent="0.25">
      <c r="A310">
        <v>12353</v>
      </c>
      <c r="B310">
        <f>VLOOKUP(A310,'Suc BD'!A:A,1,FALSE)</f>
        <v>12353</v>
      </c>
      <c r="C310" t="s">
        <v>1902</v>
      </c>
      <c r="D310" t="s">
        <v>18</v>
      </c>
      <c r="E310" t="s">
        <v>2149</v>
      </c>
      <c r="F310" t="s">
        <v>1806</v>
      </c>
      <c r="G310" t="s">
        <v>2207</v>
      </c>
      <c r="H310" t="s">
        <v>395</v>
      </c>
      <c r="I310" s="31" t="s">
        <v>99</v>
      </c>
      <c r="J310" t="s">
        <v>2253</v>
      </c>
    </row>
    <row r="311" spans="1:10" x14ac:dyDescent="0.25">
      <c r="A311">
        <v>11324</v>
      </c>
      <c r="B311">
        <f>VLOOKUP(A311,'Suc BD'!A:A,1,FALSE)</f>
        <v>11324</v>
      </c>
      <c r="C311" t="s">
        <v>1495</v>
      </c>
      <c r="D311" t="s">
        <v>16</v>
      </c>
      <c r="E311" t="s">
        <v>1496</v>
      </c>
      <c r="F311" t="s">
        <v>1482</v>
      </c>
      <c r="G311" t="s">
        <v>2201</v>
      </c>
      <c r="H311" t="s">
        <v>17</v>
      </c>
      <c r="I311" s="31" t="s">
        <v>2217</v>
      </c>
      <c r="J311" t="s">
        <v>2253</v>
      </c>
    </row>
    <row r="312" spans="1:10" x14ac:dyDescent="0.25">
      <c r="A312">
        <v>11292</v>
      </c>
      <c r="B312">
        <f>VLOOKUP(A312,'Suc BD'!A:A,1,FALSE)</f>
        <v>11292</v>
      </c>
      <c r="C312" t="s">
        <v>1326</v>
      </c>
      <c r="D312" t="s">
        <v>14</v>
      </c>
      <c r="E312" t="s">
        <v>990</v>
      </c>
      <c r="F312" t="s">
        <v>1317</v>
      </c>
      <c r="G312" t="s">
        <v>2197</v>
      </c>
      <c r="H312" t="s">
        <v>15</v>
      </c>
      <c r="I312" s="31" t="s">
        <v>2216</v>
      </c>
      <c r="J312" t="s">
        <v>2253</v>
      </c>
    </row>
    <row r="313" spans="1:10" x14ac:dyDescent="0.25">
      <c r="A313">
        <v>11195</v>
      </c>
      <c r="B313">
        <f>VLOOKUP(A313,'Suc BD'!A:A,1,FALSE)</f>
        <v>11195</v>
      </c>
      <c r="C313" t="s">
        <v>1284</v>
      </c>
      <c r="D313" t="s">
        <v>14</v>
      </c>
      <c r="E313" t="s">
        <v>1285</v>
      </c>
      <c r="F313" t="s">
        <v>1271</v>
      </c>
      <c r="G313" t="s">
        <v>2196</v>
      </c>
      <c r="H313" t="s">
        <v>15</v>
      </c>
      <c r="I313" s="31" t="s">
        <v>2216</v>
      </c>
      <c r="J313" t="s">
        <v>2253</v>
      </c>
    </row>
    <row r="314" spans="1:10" x14ac:dyDescent="0.25">
      <c r="A314">
        <v>11259</v>
      </c>
      <c r="B314">
        <f>VLOOKUP(A314,'Suc BD'!A:A,1,FALSE)</f>
        <v>11259</v>
      </c>
      <c r="C314" t="s">
        <v>128</v>
      </c>
      <c r="D314" t="s">
        <v>8</v>
      </c>
      <c r="E314" t="s">
        <v>2267</v>
      </c>
      <c r="F314" t="s">
        <v>111</v>
      </c>
      <c r="G314" t="s">
        <v>2166</v>
      </c>
      <c r="H314" t="s">
        <v>9</v>
      </c>
      <c r="I314" s="31" t="s">
        <v>2213</v>
      </c>
      <c r="J314" t="s">
        <v>2253</v>
      </c>
    </row>
    <row r="315" spans="1:10" x14ac:dyDescent="0.25">
      <c r="A315">
        <v>11161</v>
      </c>
      <c r="B315">
        <f>VLOOKUP(A315,'Suc BD'!A:A,1,FALSE)</f>
        <v>11161</v>
      </c>
      <c r="C315" t="s">
        <v>506</v>
      </c>
      <c r="D315" t="s">
        <v>10</v>
      </c>
      <c r="E315" t="s">
        <v>2360</v>
      </c>
      <c r="F315" t="s">
        <v>489</v>
      </c>
      <c r="G315" t="s">
        <v>2174</v>
      </c>
      <c r="H315" t="s">
        <v>11</v>
      </c>
      <c r="I315" s="31" t="s">
        <v>2214</v>
      </c>
      <c r="J315" t="s">
        <v>2253</v>
      </c>
    </row>
    <row r="316" spans="1:10" x14ac:dyDescent="0.25">
      <c r="A316">
        <v>11229</v>
      </c>
      <c r="B316">
        <f>VLOOKUP(A316,'Suc BD'!A:A,1,FALSE)</f>
        <v>11229</v>
      </c>
      <c r="C316" t="s">
        <v>776</v>
      </c>
      <c r="D316" t="s">
        <v>12</v>
      </c>
      <c r="E316" t="s">
        <v>2045</v>
      </c>
      <c r="F316" t="s">
        <v>773</v>
      </c>
      <c r="G316" t="s">
        <v>2183</v>
      </c>
      <c r="H316" t="s">
        <v>13</v>
      </c>
      <c r="I316" s="31" t="s">
        <v>2215</v>
      </c>
      <c r="J316" t="s">
        <v>2253</v>
      </c>
    </row>
    <row r="317" spans="1:10" x14ac:dyDescent="0.25">
      <c r="A317">
        <v>12348</v>
      </c>
      <c r="B317">
        <f>VLOOKUP(A317,'Suc BD'!A:A,1,FALSE)</f>
        <v>12348</v>
      </c>
      <c r="C317" t="s">
        <v>1265</v>
      </c>
      <c r="D317" t="s">
        <v>14</v>
      </c>
      <c r="E317" t="s">
        <v>1266</v>
      </c>
      <c r="F317" t="s">
        <v>1238</v>
      </c>
      <c r="G317" t="s">
        <v>2195</v>
      </c>
      <c r="H317" t="s">
        <v>15</v>
      </c>
      <c r="I317" s="31" t="s">
        <v>2216</v>
      </c>
      <c r="J317" t="s">
        <v>2253</v>
      </c>
    </row>
    <row r="318" spans="1:10" x14ac:dyDescent="0.25">
      <c r="A318">
        <v>11120</v>
      </c>
      <c r="B318">
        <f>VLOOKUP(A318,'Suc BD'!A:A,1,FALSE)</f>
        <v>11120</v>
      </c>
      <c r="C318" t="s">
        <v>241</v>
      </c>
      <c r="D318" t="s">
        <v>8</v>
      </c>
      <c r="E318" t="s">
        <v>2329</v>
      </c>
      <c r="F318" t="s">
        <v>2237</v>
      </c>
      <c r="G318" t="s">
        <v>53</v>
      </c>
      <c r="H318" t="s">
        <v>9</v>
      </c>
      <c r="I318" s="31" t="s">
        <v>2213</v>
      </c>
      <c r="J318" t="s">
        <v>2253</v>
      </c>
    </row>
    <row r="319" spans="1:10" x14ac:dyDescent="0.25">
      <c r="A319">
        <v>11175</v>
      </c>
      <c r="B319">
        <f>VLOOKUP(A319,'Suc BD'!A:A,1,FALSE)</f>
        <v>11175</v>
      </c>
      <c r="C319" t="s">
        <v>1749</v>
      </c>
      <c r="D319" t="s">
        <v>18</v>
      </c>
      <c r="E319" t="s">
        <v>1750</v>
      </c>
      <c r="F319" t="s">
        <v>1867</v>
      </c>
      <c r="G319" t="s">
        <v>2463</v>
      </c>
      <c r="H319" t="s">
        <v>395</v>
      </c>
      <c r="I319" s="31" t="s">
        <v>99</v>
      </c>
      <c r="J319" t="s">
        <v>2253</v>
      </c>
    </row>
    <row r="320" spans="1:10" x14ac:dyDescent="0.25">
      <c r="A320">
        <v>11744</v>
      </c>
      <c r="B320">
        <f>VLOOKUP(A320,'Suc BD'!A:A,1,FALSE)</f>
        <v>11744</v>
      </c>
      <c r="C320" t="s">
        <v>61</v>
      </c>
      <c r="D320" t="s">
        <v>8</v>
      </c>
      <c r="E320" t="s">
        <v>2256</v>
      </c>
      <c r="F320" t="s">
        <v>52</v>
      </c>
      <c r="G320" t="s">
        <v>2165</v>
      </c>
      <c r="H320" t="s">
        <v>9</v>
      </c>
      <c r="I320" s="31" t="s">
        <v>2213</v>
      </c>
      <c r="J320" t="s">
        <v>2253</v>
      </c>
    </row>
    <row r="321" spans="1:10" x14ac:dyDescent="0.25">
      <c r="A321">
        <v>11207</v>
      </c>
      <c r="B321">
        <f>VLOOKUP(A321,'Suc BD'!A:A,1,FALSE)</f>
        <v>11207</v>
      </c>
      <c r="C321" t="s">
        <v>214</v>
      </c>
      <c r="D321" t="s">
        <v>8</v>
      </c>
      <c r="E321" t="s">
        <v>2288</v>
      </c>
      <c r="F321" t="s">
        <v>196</v>
      </c>
      <c r="G321" t="s">
        <v>2168</v>
      </c>
      <c r="H321" t="s">
        <v>9</v>
      </c>
      <c r="I321" s="31" t="s">
        <v>2213</v>
      </c>
      <c r="J321" t="s">
        <v>2253</v>
      </c>
    </row>
    <row r="322" spans="1:10" x14ac:dyDescent="0.25">
      <c r="A322">
        <v>11337</v>
      </c>
      <c r="B322">
        <f>VLOOKUP(A322,'Suc BD'!A:A,1,FALSE)</f>
        <v>11337</v>
      </c>
      <c r="C322" t="s">
        <v>1500</v>
      </c>
      <c r="D322" t="s">
        <v>16</v>
      </c>
      <c r="E322" t="s">
        <v>1501</v>
      </c>
      <c r="F322" t="s">
        <v>1482</v>
      </c>
      <c r="G322" t="s">
        <v>2201</v>
      </c>
      <c r="H322" t="s">
        <v>17</v>
      </c>
      <c r="I322" s="31" t="s">
        <v>2217</v>
      </c>
      <c r="J322" t="s">
        <v>2253</v>
      </c>
    </row>
    <row r="323" spans="1:10" x14ac:dyDescent="0.25">
      <c r="A323">
        <v>11151</v>
      </c>
      <c r="B323">
        <f>VLOOKUP(A323,'Suc BD'!A:A,1,FALSE)</f>
        <v>11151</v>
      </c>
      <c r="C323" t="s">
        <v>801</v>
      </c>
      <c r="D323" t="s">
        <v>12</v>
      </c>
      <c r="E323" t="s">
        <v>2103</v>
      </c>
      <c r="F323" t="s">
        <v>802</v>
      </c>
      <c r="G323" t="s">
        <v>2184</v>
      </c>
      <c r="H323" t="s">
        <v>13</v>
      </c>
      <c r="I323" s="31" t="s">
        <v>2215</v>
      </c>
      <c r="J323" t="s">
        <v>2253</v>
      </c>
    </row>
    <row r="324" spans="1:10" x14ac:dyDescent="0.25">
      <c r="A324">
        <v>11461</v>
      </c>
      <c r="B324">
        <f>VLOOKUP(A324,'Suc BD'!A:A,1,FALSE)</f>
        <v>11461</v>
      </c>
      <c r="C324" t="s">
        <v>473</v>
      </c>
      <c r="D324" t="s">
        <v>8</v>
      </c>
      <c r="E324" t="s">
        <v>2352</v>
      </c>
      <c r="F324" t="s">
        <v>440</v>
      </c>
      <c r="G324" t="s">
        <v>2173</v>
      </c>
      <c r="H324" t="s">
        <v>9</v>
      </c>
      <c r="I324" s="31" t="s">
        <v>2213</v>
      </c>
      <c r="J324" t="s">
        <v>2253</v>
      </c>
    </row>
    <row r="325" spans="1:10" x14ac:dyDescent="0.25">
      <c r="A325">
        <v>11314</v>
      </c>
      <c r="B325">
        <f>VLOOKUP(A325,'Suc BD'!A:A,1,FALSE)</f>
        <v>11314</v>
      </c>
      <c r="C325" t="s">
        <v>465</v>
      </c>
      <c r="D325" t="s">
        <v>8</v>
      </c>
      <c r="E325" t="s">
        <v>2350</v>
      </c>
      <c r="F325" t="s">
        <v>440</v>
      </c>
      <c r="G325" t="s">
        <v>2173</v>
      </c>
      <c r="H325" t="s">
        <v>9</v>
      </c>
      <c r="I325" s="31" t="s">
        <v>2213</v>
      </c>
      <c r="J325" t="s">
        <v>2253</v>
      </c>
    </row>
    <row r="326" spans="1:10" x14ac:dyDescent="0.25">
      <c r="A326">
        <v>11250</v>
      </c>
      <c r="B326">
        <f>VLOOKUP(A326,'Suc BD'!A:A,1,FALSE)</f>
        <v>11250</v>
      </c>
      <c r="C326" t="s">
        <v>222</v>
      </c>
      <c r="D326" t="s">
        <v>8</v>
      </c>
      <c r="E326" t="s">
        <v>2290</v>
      </c>
      <c r="F326" t="s">
        <v>196</v>
      </c>
      <c r="G326" t="s">
        <v>2168</v>
      </c>
      <c r="H326" t="s">
        <v>9</v>
      </c>
      <c r="I326" s="31" t="s">
        <v>2213</v>
      </c>
      <c r="J326" t="s">
        <v>2253</v>
      </c>
    </row>
    <row r="327" spans="1:10" x14ac:dyDescent="0.25">
      <c r="A327">
        <v>11580</v>
      </c>
      <c r="B327">
        <f>VLOOKUP(A327,'Suc BD'!A:A,1,FALSE)</f>
        <v>11580</v>
      </c>
      <c r="C327" t="s">
        <v>344</v>
      </c>
      <c r="D327" t="s">
        <v>8</v>
      </c>
      <c r="E327" t="s">
        <v>2325</v>
      </c>
      <c r="F327" t="s">
        <v>316</v>
      </c>
      <c r="G327" t="s">
        <v>2170</v>
      </c>
      <c r="H327" t="s">
        <v>9</v>
      </c>
      <c r="I327" s="31" t="s">
        <v>2213</v>
      </c>
      <c r="J327" t="s">
        <v>2253</v>
      </c>
    </row>
    <row r="328" spans="1:10" x14ac:dyDescent="0.25">
      <c r="A328">
        <v>11940</v>
      </c>
      <c r="B328">
        <f>VLOOKUP(A328,'Suc BD'!A:A,1,FALSE)</f>
        <v>11940</v>
      </c>
      <c r="C328" t="s">
        <v>266</v>
      </c>
      <c r="D328" t="s">
        <v>8</v>
      </c>
      <c r="E328" t="s">
        <v>2335</v>
      </c>
      <c r="F328" t="s">
        <v>2237</v>
      </c>
      <c r="G328" t="s">
        <v>53</v>
      </c>
      <c r="H328" t="s">
        <v>9</v>
      </c>
      <c r="I328" s="31" t="s">
        <v>2213</v>
      </c>
      <c r="J328" t="s">
        <v>2253</v>
      </c>
    </row>
    <row r="329" spans="1:10" x14ac:dyDescent="0.25">
      <c r="A329">
        <v>11339</v>
      </c>
      <c r="B329">
        <f>VLOOKUP(A329,'Suc BD'!A:A,1,FALSE)</f>
        <v>11339</v>
      </c>
      <c r="C329" t="s">
        <v>1995</v>
      </c>
      <c r="D329" t="s">
        <v>10</v>
      </c>
      <c r="E329" t="s">
        <v>2390</v>
      </c>
      <c r="F329" t="s">
        <v>588</v>
      </c>
      <c r="G329" t="s">
        <v>2177</v>
      </c>
      <c r="H329" t="s">
        <v>11</v>
      </c>
      <c r="I329" s="31" t="s">
        <v>2214</v>
      </c>
      <c r="J329" t="s">
        <v>2253</v>
      </c>
    </row>
    <row r="330" spans="1:10" x14ac:dyDescent="0.25">
      <c r="A330">
        <v>11257</v>
      </c>
      <c r="B330">
        <f>VLOOKUP(A330,'Suc BD'!A:A,1,FALSE)</f>
        <v>11257</v>
      </c>
      <c r="C330" t="s">
        <v>460</v>
      </c>
      <c r="D330" t="s">
        <v>8</v>
      </c>
      <c r="E330" t="s">
        <v>2349</v>
      </c>
      <c r="F330" t="s">
        <v>440</v>
      </c>
      <c r="G330" t="s">
        <v>2173</v>
      </c>
      <c r="H330" t="s">
        <v>9</v>
      </c>
      <c r="I330" s="31" t="s">
        <v>2213</v>
      </c>
      <c r="J330" t="s">
        <v>2253</v>
      </c>
    </row>
    <row r="331" spans="1:10" x14ac:dyDescent="0.25">
      <c r="A331">
        <v>11892</v>
      </c>
      <c r="B331">
        <f>VLOOKUP(A331,'Suc BD'!A:A,1,FALSE)</f>
        <v>11892</v>
      </c>
      <c r="C331" t="s">
        <v>348</v>
      </c>
      <c r="D331" t="s">
        <v>8</v>
      </c>
      <c r="E331" t="s">
        <v>2326</v>
      </c>
      <c r="F331" t="s">
        <v>316</v>
      </c>
      <c r="G331" t="s">
        <v>2170</v>
      </c>
      <c r="H331" t="s">
        <v>9</v>
      </c>
      <c r="I331" s="31" t="s">
        <v>2213</v>
      </c>
      <c r="J331" t="s">
        <v>2253</v>
      </c>
    </row>
    <row r="332" spans="1:10" x14ac:dyDescent="0.25">
      <c r="A332">
        <v>12358</v>
      </c>
      <c r="B332" t="e">
        <f>VLOOKUP(A332,'Suc BD'!A:A,1,FALSE)</f>
        <v>#N/A</v>
      </c>
      <c r="C332" t="s">
        <v>2127</v>
      </c>
      <c r="D332" t="s">
        <v>14</v>
      </c>
      <c r="E332" t="s">
        <v>1221</v>
      </c>
      <c r="F332" t="s">
        <v>1205</v>
      </c>
      <c r="G332" t="s">
        <v>2194</v>
      </c>
      <c r="H332" t="s">
        <v>15</v>
      </c>
      <c r="I332" s="31" t="s">
        <v>2216</v>
      </c>
      <c r="J332" t="s">
        <v>2253</v>
      </c>
    </row>
    <row r="333" spans="1:10" x14ac:dyDescent="0.25">
      <c r="A333">
        <v>12351</v>
      </c>
      <c r="B333">
        <f>VLOOKUP(A333,'Suc BD'!A:A,1,FALSE)</f>
        <v>12351</v>
      </c>
      <c r="C333" t="s">
        <v>1940</v>
      </c>
      <c r="D333" t="s">
        <v>18</v>
      </c>
      <c r="E333" t="s">
        <v>1941</v>
      </c>
      <c r="F333" t="s">
        <v>1806</v>
      </c>
      <c r="G333" t="s">
        <v>2207</v>
      </c>
      <c r="H333" t="s">
        <v>395</v>
      </c>
      <c r="I333" s="31" t="s">
        <v>99</v>
      </c>
      <c r="J333" t="s">
        <v>2253</v>
      </c>
    </row>
    <row r="334" spans="1:10" x14ac:dyDescent="0.25">
      <c r="A334">
        <v>11474</v>
      </c>
      <c r="B334">
        <f>VLOOKUP(A334,'Suc BD'!A:A,1,FALSE)</f>
        <v>11474</v>
      </c>
      <c r="C334" t="s">
        <v>1838</v>
      </c>
      <c r="D334" t="s">
        <v>18</v>
      </c>
      <c r="E334" t="s">
        <v>1805</v>
      </c>
      <c r="F334" t="s">
        <v>1908</v>
      </c>
      <c r="G334" t="s">
        <v>2209</v>
      </c>
      <c r="H334" t="s">
        <v>395</v>
      </c>
      <c r="I334" s="31" t="s">
        <v>99</v>
      </c>
      <c r="J334" t="s">
        <v>2253</v>
      </c>
    </row>
    <row r="335" spans="1:10" x14ac:dyDescent="0.25">
      <c r="A335">
        <v>11599</v>
      </c>
      <c r="B335">
        <f>VLOOKUP(A335,'Suc BD'!A:A,1,FALSE)</f>
        <v>11599</v>
      </c>
      <c r="C335" t="s">
        <v>1512</v>
      </c>
      <c r="D335" t="s">
        <v>16</v>
      </c>
      <c r="E335" t="s">
        <v>1513</v>
      </c>
      <c r="F335" t="s">
        <v>1482</v>
      </c>
      <c r="G335" t="s">
        <v>2201</v>
      </c>
      <c r="H335" t="s">
        <v>17</v>
      </c>
      <c r="I335" s="31" t="s">
        <v>2217</v>
      </c>
      <c r="J335" t="s">
        <v>2253</v>
      </c>
    </row>
    <row r="336" spans="1:10" x14ac:dyDescent="0.25">
      <c r="A336">
        <v>11565</v>
      </c>
      <c r="B336">
        <f>VLOOKUP(A336,'Suc BD'!A:A,1,FALSE)</f>
        <v>11565</v>
      </c>
      <c r="C336" t="s">
        <v>1981</v>
      </c>
      <c r="D336" t="s">
        <v>10</v>
      </c>
      <c r="E336" t="s">
        <v>2373</v>
      </c>
      <c r="F336" t="s">
        <v>745</v>
      </c>
      <c r="G336" t="s">
        <v>2175</v>
      </c>
      <c r="H336" t="s">
        <v>11</v>
      </c>
      <c r="I336" s="31" t="s">
        <v>2214</v>
      </c>
      <c r="J336" t="s">
        <v>2253</v>
      </c>
    </row>
    <row r="337" spans="1:10" x14ac:dyDescent="0.25">
      <c r="A337">
        <v>12355</v>
      </c>
      <c r="B337">
        <f>VLOOKUP(A337,'Suc BD'!A:A,1,FALSE)</f>
        <v>12355</v>
      </c>
      <c r="C337" t="s">
        <v>1199</v>
      </c>
      <c r="D337" t="s">
        <v>14</v>
      </c>
      <c r="E337" t="s">
        <v>1200</v>
      </c>
      <c r="F337" t="s">
        <v>1164</v>
      </c>
      <c r="G337" t="s">
        <v>2193</v>
      </c>
      <c r="H337" t="s">
        <v>15</v>
      </c>
      <c r="I337" s="31" t="s">
        <v>2216</v>
      </c>
      <c r="J337" t="s">
        <v>2253</v>
      </c>
    </row>
    <row r="338" spans="1:10" x14ac:dyDescent="0.25">
      <c r="A338">
        <v>11834</v>
      </c>
      <c r="B338">
        <f>VLOOKUP(A338,'Suc BD'!A:A,1,FALSE)</f>
        <v>11834</v>
      </c>
      <c r="C338" t="s">
        <v>886</v>
      </c>
      <c r="D338" t="s">
        <v>12</v>
      </c>
      <c r="E338" t="s">
        <v>2063</v>
      </c>
      <c r="F338" t="s">
        <v>859</v>
      </c>
      <c r="G338" t="s">
        <v>2186</v>
      </c>
      <c r="H338" t="s">
        <v>13</v>
      </c>
      <c r="I338" s="31" t="s">
        <v>2215</v>
      </c>
      <c r="J338" t="s">
        <v>2253</v>
      </c>
    </row>
    <row r="339" spans="1:10" x14ac:dyDescent="0.25">
      <c r="A339">
        <v>11044</v>
      </c>
      <c r="B339">
        <f>VLOOKUP(A339,'Suc BD'!A:A,1,FALSE)</f>
        <v>11044</v>
      </c>
      <c r="C339" t="s">
        <v>1970</v>
      </c>
      <c r="D339" t="s">
        <v>10</v>
      </c>
      <c r="E339" t="s">
        <v>2357</v>
      </c>
      <c r="F339" t="s">
        <v>489</v>
      </c>
      <c r="G339" t="s">
        <v>2174</v>
      </c>
      <c r="H339" t="s">
        <v>11</v>
      </c>
      <c r="I339" s="31" t="s">
        <v>2214</v>
      </c>
      <c r="J339" t="s">
        <v>2253</v>
      </c>
    </row>
    <row r="340" spans="1:10" x14ac:dyDescent="0.25">
      <c r="A340">
        <v>11573</v>
      </c>
      <c r="B340">
        <f>VLOOKUP(A340,'Suc BD'!A:A,1,FALSE)</f>
        <v>11573</v>
      </c>
      <c r="C340" t="s">
        <v>1381</v>
      </c>
      <c r="D340" t="s">
        <v>16</v>
      </c>
      <c r="E340" t="s">
        <v>2144</v>
      </c>
      <c r="F340" t="s">
        <v>1362</v>
      </c>
      <c r="G340" t="s">
        <v>2198</v>
      </c>
      <c r="H340" t="s">
        <v>17</v>
      </c>
      <c r="I340" s="31" t="s">
        <v>2217</v>
      </c>
      <c r="J340" t="s">
        <v>2253</v>
      </c>
    </row>
    <row r="341" spans="1:10" x14ac:dyDescent="0.25">
      <c r="A341">
        <v>11342</v>
      </c>
      <c r="B341">
        <f>VLOOKUP(A341,'Suc BD'!A:A,1,FALSE)</f>
        <v>11342</v>
      </c>
      <c r="C341" t="s">
        <v>2018</v>
      </c>
      <c r="D341" t="s">
        <v>10</v>
      </c>
      <c r="E341" t="s">
        <v>2420</v>
      </c>
      <c r="F341" t="s">
        <v>675</v>
      </c>
      <c r="G341" t="s">
        <v>2180</v>
      </c>
      <c r="H341" t="s">
        <v>11</v>
      </c>
      <c r="I341" s="31" t="s">
        <v>2214</v>
      </c>
      <c r="J341" t="s">
        <v>2253</v>
      </c>
    </row>
    <row r="342" spans="1:10" x14ac:dyDescent="0.25">
      <c r="A342">
        <v>11319</v>
      </c>
      <c r="B342">
        <f>VLOOKUP(A342,'Suc BD'!A:A,1,FALSE)</f>
        <v>11319</v>
      </c>
      <c r="C342" t="s">
        <v>963</v>
      </c>
      <c r="D342" t="s">
        <v>14</v>
      </c>
      <c r="E342" t="s">
        <v>964</v>
      </c>
      <c r="F342" t="s">
        <v>951</v>
      </c>
      <c r="G342" t="s">
        <v>2189</v>
      </c>
      <c r="H342" t="s">
        <v>15</v>
      </c>
      <c r="I342" s="31" t="s">
        <v>2216</v>
      </c>
      <c r="J342" t="s">
        <v>2253</v>
      </c>
    </row>
    <row r="343" spans="1:10" x14ac:dyDescent="0.25">
      <c r="A343">
        <v>11232</v>
      </c>
      <c r="B343">
        <f>VLOOKUP(A343,'Suc BD'!A:A,1,FALSE)</f>
        <v>11232</v>
      </c>
      <c r="C343" t="s">
        <v>1541</v>
      </c>
      <c r="D343" t="s">
        <v>16</v>
      </c>
      <c r="E343" t="s">
        <v>1542</v>
      </c>
      <c r="F343" t="s">
        <v>1528</v>
      </c>
      <c r="G343" t="s">
        <v>2202</v>
      </c>
      <c r="H343" t="s">
        <v>17</v>
      </c>
      <c r="I343" s="31" t="s">
        <v>2217</v>
      </c>
      <c r="J343" t="s">
        <v>2253</v>
      </c>
    </row>
    <row r="344" spans="1:10" x14ac:dyDescent="0.25">
      <c r="A344">
        <v>11875</v>
      </c>
      <c r="B344">
        <f>VLOOKUP(A344,'Suc BD'!A:A,1,FALSE)</f>
        <v>11875</v>
      </c>
      <c r="C344" t="s">
        <v>1475</v>
      </c>
      <c r="D344" t="s">
        <v>16</v>
      </c>
      <c r="E344" t="s">
        <v>1476</v>
      </c>
      <c r="F344" t="s">
        <v>1431</v>
      </c>
      <c r="G344" t="s">
        <v>2200</v>
      </c>
      <c r="H344" t="s">
        <v>17</v>
      </c>
      <c r="I344" s="31" t="s">
        <v>2217</v>
      </c>
      <c r="J344" t="s">
        <v>2253</v>
      </c>
    </row>
    <row r="345" spans="1:10" x14ac:dyDescent="0.25">
      <c r="A345">
        <v>11306</v>
      </c>
      <c r="B345">
        <f>VLOOKUP(A345,'Suc BD'!A:A,1,FALSE)</f>
        <v>11306</v>
      </c>
      <c r="C345" t="s">
        <v>379</v>
      </c>
      <c r="D345" t="s">
        <v>8</v>
      </c>
      <c r="E345" t="s">
        <v>2340</v>
      </c>
      <c r="F345" t="s">
        <v>361</v>
      </c>
      <c r="G345" t="s">
        <v>2171</v>
      </c>
      <c r="H345" t="s">
        <v>9</v>
      </c>
      <c r="I345" s="31" t="s">
        <v>2213</v>
      </c>
      <c r="J345" t="s">
        <v>2253</v>
      </c>
    </row>
    <row r="346" spans="1:10" x14ac:dyDescent="0.25">
      <c r="A346">
        <v>11903</v>
      </c>
      <c r="B346">
        <f>VLOOKUP(A346,'Suc BD'!A:A,1,FALSE)</f>
        <v>11903</v>
      </c>
      <c r="C346" t="s">
        <v>100</v>
      </c>
      <c r="D346" t="s">
        <v>8</v>
      </c>
      <c r="E346" t="s">
        <v>2262</v>
      </c>
      <c r="F346" t="s">
        <v>52</v>
      </c>
      <c r="G346" t="s">
        <v>2165</v>
      </c>
      <c r="H346" t="s">
        <v>9</v>
      </c>
      <c r="I346" s="31" t="s">
        <v>2213</v>
      </c>
      <c r="J346" t="s">
        <v>2253</v>
      </c>
    </row>
    <row r="347" spans="1:10" x14ac:dyDescent="0.25">
      <c r="A347">
        <v>11517</v>
      </c>
      <c r="B347">
        <f>VLOOKUP(A347,'Suc BD'!A:A,1,FALSE)</f>
        <v>11517</v>
      </c>
      <c r="C347" t="s">
        <v>1630</v>
      </c>
      <c r="D347" t="s">
        <v>16</v>
      </c>
      <c r="E347" t="s">
        <v>1631</v>
      </c>
      <c r="F347" t="s">
        <v>1607</v>
      </c>
      <c r="G347" t="s">
        <v>2204</v>
      </c>
      <c r="H347" t="s">
        <v>17</v>
      </c>
      <c r="I347" s="31" t="s">
        <v>2217</v>
      </c>
      <c r="J347" t="s">
        <v>2253</v>
      </c>
    </row>
    <row r="348" spans="1:10" x14ac:dyDescent="0.25">
      <c r="A348">
        <v>11939</v>
      </c>
      <c r="B348">
        <f>VLOOKUP(A348,'Suc BD'!A:A,1,FALSE)</f>
        <v>11939</v>
      </c>
      <c r="C348" t="s">
        <v>431</v>
      </c>
      <c r="D348" t="s">
        <v>8</v>
      </c>
      <c r="E348" t="s">
        <v>2304</v>
      </c>
      <c r="F348" t="s">
        <v>242</v>
      </c>
      <c r="G348" t="s">
        <v>2172</v>
      </c>
      <c r="H348" t="s">
        <v>9</v>
      </c>
      <c r="I348" s="31" t="s">
        <v>2213</v>
      </c>
      <c r="J348" t="s">
        <v>2253</v>
      </c>
    </row>
    <row r="349" spans="1:10" x14ac:dyDescent="0.25">
      <c r="A349">
        <v>12343</v>
      </c>
      <c r="B349">
        <f>VLOOKUP(A349,'Suc BD'!A:A,1,FALSE)</f>
        <v>12343</v>
      </c>
      <c r="C349" t="s">
        <v>2038</v>
      </c>
      <c r="D349" t="s">
        <v>10</v>
      </c>
      <c r="E349" t="s">
        <v>2443</v>
      </c>
      <c r="F349" t="s">
        <v>555</v>
      </c>
      <c r="G349" t="s">
        <v>2182</v>
      </c>
      <c r="H349" t="s">
        <v>11</v>
      </c>
      <c r="I349" s="31" t="s">
        <v>2214</v>
      </c>
      <c r="J349" t="s">
        <v>2253</v>
      </c>
    </row>
    <row r="350" spans="1:10" x14ac:dyDescent="0.25">
      <c r="A350">
        <v>11286</v>
      </c>
      <c r="B350">
        <f>VLOOKUP(A350,'Suc BD'!A:A,1,FALSE)</f>
        <v>11286</v>
      </c>
      <c r="C350" t="s">
        <v>513</v>
      </c>
      <c r="D350" t="s">
        <v>10</v>
      </c>
      <c r="E350" t="s">
        <v>2362</v>
      </c>
      <c r="F350" t="s">
        <v>489</v>
      </c>
      <c r="G350" t="s">
        <v>2174</v>
      </c>
      <c r="H350" t="s">
        <v>11</v>
      </c>
      <c r="I350" s="31" t="s">
        <v>2214</v>
      </c>
      <c r="J350" t="s">
        <v>2253</v>
      </c>
    </row>
    <row r="351" spans="1:10" x14ac:dyDescent="0.25">
      <c r="A351">
        <v>11208</v>
      </c>
      <c r="B351">
        <f>VLOOKUP(A351,'Suc BD'!A:A,1,FALSE)</f>
        <v>11208</v>
      </c>
      <c r="C351" t="s">
        <v>688</v>
      </c>
      <c r="D351" t="s">
        <v>10</v>
      </c>
      <c r="E351" t="s">
        <v>2417</v>
      </c>
      <c r="F351" t="s">
        <v>675</v>
      </c>
      <c r="G351" t="s">
        <v>2180</v>
      </c>
      <c r="H351" t="s">
        <v>11</v>
      </c>
      <c r="I351" s="31" t="s">
        <v>2214</v>
      </c>
      <c r="J351" t="s">
        <v>2253</v>
      </c>
    </row>
    <row r="352" spans="1:10" x14ac:dyDescent="0.25">
      <c r="A352">
        <v>11158</v>
      </c>
      <c r="B352">
        <f>VLOOKUP(A352,'Suc BD'!A:A,1,FALSE)</f>
        <v>11158</v>
      </c>
      <c r="C352" t="s">
        <v>1713</v>
      </c>
      <c r="D352" t="s">
        <v>18</v>
      </c>
      <c r="E352" t="s">
        <v>1714</v>
      </c>
      <c r="F352" t="s">
        <v>1708</v>
      </c>
      <c r="G352" t="s">
        <v>2206</v>
      </c>
      <c r="H352" t="s">
        <v>395</v>
      </c>
      <c r="I352" s="31" t="s">
        <v>99</v>
      </c>
      <c r="J352" t="s">
        <v>2253</v>
      </c>
    </row>
    <row r="353" spans="1:10" x14ac:dyDescent="0.25">
      <c r="A353">
        <v>11462</v>
      </c>
      <c r="B353">
        <f>VLOOKUP(A353,'Suc BD'!A:A,1,FALSE)</f>
        <v>11462</v>
      </c>
      <c r="C353" t="s">
        <v>1728</v>
      </c>
      <c r="D353" t="s">
        <v>18</v>
      </c>
      <c r="E353" t="s">
        <v>1729</v>
      </c>
      <c r="F353" t="s">
        <v>1708</v>
      </c>
      <c r="G353" t="s">
        <v>2206</v>
      </c>
      <c r="H353" t="s">
        <v>395</v>
      </c>
      <c r="I353" s="31" t="s">
        <v>99</v>
      </c>
      <c r="J353" t="s">
        <v>2253</v>
      </c>
    </row>
    <row r="354" spans="1:10" x14ac:dyDescent="0.25">
      <c r="A354">
        <v>11256</v>
      </c>
      <c r="B354">
        <f>VLOOKUP(A354,'Suc BD'!A:A,1,FALSE)</f>
        <v>11256</v>
      </c>
      <c r="C354" t="s">
        <v>1359</v>
      </c>
      <c r="D354" t="s">
        <v>16</v>
      </c>
      <c r="E354" t="s">
        <v>1361</v>
      </c>
      <c r="F354" t="s">
        <v>1362</v>
      </c>
      <c r="G354" t="s">
        <v>2198</v>
      </c>
      <c r="H354" t="s">
        <v>17</v>
      </c>
      <c r="I354" s="31" t="s">
        <v>2217</v>
      </c>
      <c r="J354" t="s">
        <v>2253</v>
      </c>
    </row>
    <row r="355" spans="1:10" x14ac:dyDescent="0.25">
      <c r="A355">
        <v>11955</v>
      </c>
      <c r="B355">
        <f>VLOOKUP(A355,'Suc BD'!A:A,1,FALSE)</f>
        <v>11955</v>
      </c>
      <c r="C355" t="s">
        <v>2032</v>
      </c>
      <c r="D355" t="s">
        <v>10</v>
      </c>
      <c r="E355" t="s">
        <v>2435</v>
      </c>
      <c r="F355" t="s">
        <v>714</v>
      </c>
      <c r="G355" t="s">
        <v>2181</v>
      </c>
      <c r="H355" t="s">
        <v>11</v>
      </c>
      <c r="I355" s="31" t="s">
        <v>2214</v>
      </c>
      <c r="J355" t="s">
        <v>2253</v>
      </c>
    </row>
    <row r="356" spans="1:10" x14ac:dyDescent="0.25">
      <c r="A356">
        <v>11136</v>
      </c>
      <c r="B356">
        <f>VLOOKUP(A356,'Suc BD'!A:A,1,FALSE)</f>
        <v>11136</v>
      </c>
      <c r="C356" t="s">
        <v>1123</v>
      </c>
      <c r="D356" t="s">
        <v>14</v>
      </c>
      <c r="E356" t="s">
        <v>1124</v>
      </c>
      <c r="F356" t="s">
        <v>1118</v>
      </c>
      <c r="G356" t="s">
        <v>2192</v>
      </c>
      <c r="H356" t="s">
        <v>15</v>
      </c>
      <c r="I356" s="31" t="s">
        <v>2216</v>
      </c>
      <c r="J356" t="s">
        <v>2253</v>
      </c>
    </row>
    <row r="357" spans="1:10" x14ac:dyDescent="0.25">
      <c r="A357">
        <v>11548</v>
      </c>
      <c r="B357">
        <f>VLOOKUP(A357,'Suc BD'!A:A,1,FALSE)</f>
        <v>11548</v>
      </c>
      <c r="C357" t="s">
        <v>387</v>
      </c>
      <c r="D357" t="s">
        <v>8</v>
      </c>
      <c r="E357" t="s">
        <v>2342</v>
      </c>
      <c r="F357" t="s">
        <v>361</v>
      </c>
      <c r="G357" t="s">
        <v>2171</v>
      </c>
      <c r="H357" t="s">
        <v>9</v>
      </c>
      <c r="I357" s="31" t="s">
        <v>2213</v>
      </c>
      <c r="J357" t="s">
        <v>2253</v>
      </c>
    </row>
    <row r="358" spans="1:10" x14ac:dyDescent="0.25">
      <c r="A358">
        <v>11211</v>
      </c>
      <c r="B358">
        <f>VLOOKUP(A358,'Suc BD'!A:A,1,FALSE)</f>
        <v>11211</v>
      </c>
      <c r="C358" t="s">
        <v>218</v>
      </c>
      <c r="D358" t="s">
        <v>8</v>
      </c>
      <c r="E358" t="s">
        <v>2289</v>
      </c>
      <c r="F358" t="s">
        <v>196</v>
      </c>
      <c r="G358" t="s">
        <v>2168</v>
      </c>
      <c r="H358" t="s">
        <v>9</v>
      </c>
      <c r="I358" s="31" t="s">
        <v>2213</v>
      </c>
      <c r="J358" t="s">
        <v>2253</v>
      </c>
    </row>
    <row r="359" spans="1:10" x14ac:dyDescent="0.25">
      <c r="A359">
        <v>11172</v>
      </c>
      <c r="B359">
        <f>VLOOKUP(A359,'Suc BD'!A:A,1,FALSE)</f>
        <v>11172</v>
      </c>
      <c r="C359" t="s">
        <v>553</v>
      </c>
      <c r="D359" t="s">
        <v>10</v>
      </c>
      <c r="E359" t="s">
        <v>2369</v>
      </c>
      <c r="F359" t="s">
        <v>745</v>
      </c>
      <c r="G359" t="s">
        <v>2175</v>
      </c>
      <c r="H359" t="s">
        <v>11</v>
      </c>
      <c r="I359" s="31" t="s">
        <v>2214</v>
      </c>
      <c r="J359" t="s">
        <v>2253</v>
      </c>
    </row>
    <row r="360" spans="1:10" x14ac:dyDescent="0.25">
      <c r="A360">
        <v>12330</v>
      </c>
      <c r="B360">
        <f>VLOOKUP(A360,'Suc BD'!A:A,1,FALSE)</f>
        <v>12330</v>
      </c>
      <c r="C360" t="s">
        <v>1233</v>
      </c>
      <c r="D360" t="s">
        <v>14</v>
      </c>
      <c r="E360" t="s">
        <v>2114</v>
      </c>
      <c r="F360" t="s">
        <v>1205</v>
      </c>
      <c r="G360" t="s">
        <v>2194</v>
      </c>
      <c r="H360" t="s">
        <v>15</v>
      </c>
      <c r="I360" s="31" t="s">
        <v>2216</v>
      </c>
      <c r="J360" t="s">
        <v>2253</v>
      </c>
    </row>
    <row r="361" spans="1:10" x14ac:dyDescent="0.25">
      <c r="A361">
        <v>11128</v>
      </c>
      <c r="B361">
        <f>VLOOKUP(A361,'Suc BD'!A:A,1,FALSE)</f>
        <v>11128</v>
      </c>
      <c r="C361" t="s">
        <v>1667</v>
      </c>
      <c r="D361" t="s">
        <v>16</v>
      </c>
      <c r="E361" t="s">
        <v>1668</v>
      </c>
      <c r="F361" t="s">
        <v>1658</v>
      </c>
      <c r="G361" t="s">
        <v>2205</v>
      </c>
      <c r="H361" t="s">
        <v>17</v>
      </c>
      <c r="I361" s="31" t="s">
        <v>2217</v>
      </c>
      <c r="J361" t="s">
        <v>2253</v>
      </c>
    </row>
    <row r="362" spans="1:10" x14ac:dyDescent="0.25">
      <c r="A362">
        <v>11471</v>
      </c>
      <c r="B362">
        <f>VLOOKUP(A362,'Suc BD'!A:A,1,FALSE)</f>
        <v>11471</v>
      </c>
      <c r="C362" t="s">
        <v>1871</v>
      </c>
      <c r="D362" t="s">
        <v>18</v>
      </c>
      <c r="E362" t="s">
        <v>2460</v>
      </c>
      <c r="F362" t="s">
        <v>1867</v>
      </c>
      <c r="G362" t="s">
        <v>2463</v>
      </c>
      <c r="H362" t="s">
        <v>395</v>
      </c>
      <c r="I362" s="31" t="s">
        <v>99</v>
      </c>
      <c r="J362" t="s">
        <v>2253</v>
      </c>
    </row>
    <row r="363" spans="1:10" x14ac:dyDescent="0.25">
      <c r="A363">
        <v>11619</v>
      </c>
      <c r="B363">
        <f>VLOOKUP(A363,'Suc BD'!A:A,1,FALSE)</f>
        <v>11619</v>
      </c>
      <c r="C363" t="s">
        <v>1792</v>
      </c>
      <c r="D363" t="s">
        <v>18</v>
      </c>
      <c r="E363" t="s">
        <v>2123</v>
      </c>
      <c r="F363" t="s">
        <v>1867</v>
      </c>
      <c r="G363" t="s">
        <v>2463</v>
      </c>
      <c r="H363" t="s">
        <v>395</v>
      </c>
      <c r="I363" s="31" t="s">
        <v>99</v>
      </c>
      <c r="J363" t="s">
        <v>2253</v>
      </c>
    </row>
    <row r="364" spans="1:10" x14ac:dyDescent="0.25">
      <c r="A364">
        <v>11635</v>
      </c>
      <c r="B364">
        <f>VLOOKUP(A364,'Suc BD'!A:A,1,FALSE)</f>
        <v>11635</v>
      </c>
      <c r="C364" t="s">
        <v>1230</v>
      </c>
      <c r="D364" t="s">
        <v>14</v>
      </c>
      <c r="E364" t="s">
        <v>1204</v>
      </c>
      <c r="F364" t="s">
        <v>1205</v>
      </c>
      <c r="G364" t="s">
        <v>2194</v>
      </c>
      <c r="H364" t="s">
        <v>15</v>
      </c>
      <c r="I364" s="31" t="s">
        <v>2216</v>
      </c>
      <c r="J364" t="s">
        <v>2253</v>
      </c>
    </row>
    <row r="365" spans="1:10" x14ac:dyDescent="0.25">
      <c r="A365">
        <v>11170</v>
      </c>
      <c r="B365">
        <f>VLOOKUP(A365,'Suc BD'!A:A,1,FALSE)</f>
        <v>11170</v>
      </c>
      <c r="C365" t="s">
        <v>896</v>
      </c>
      <c r="D365" t="s">
        <v>12</v>
      </c>
      <c r="E365" t="s">
        <v>2067</v>
      </c>
      <c r="F365" t="s">
        <v>897</v>
      </c>
      <c r="G365" t="s">
        <v>2187</v>
      </c>
      <c r="H365" t="s">
        <v>13</v>
      </c>
      <c r="I365" s="31" t="s">
        <v>2215</v>
      </c>
      <c r="J365" t="s">
        <v>2253</v>
      </c>
    </row>
    <row r="366" spans="1:10" x14ac:dyDescent="0.25">
      <c r="A366">
        <v>11578</v>
      </c>
      <c r="B366">
        <f>VLOOKUP(A366,'Suc BD'!A:A,1,FALSE)</f>
        <v>11578</v>
      </c>
      <c r="C366" t="s">
        <v>1996</v>
      </c>
      <c r="D366" t="s">
        <v>10</v>
      </c>
      <c r="E366" t="s">
        <v>2391</v>
      </c>
      <c r="F366" t="s">
        <v>588</v>
      </c>
      <c r="G366" t="s">
        <v>2177</v>
      </c>
      <c r="H366" t="s">
        <v>11</v>
      </c>
      <c r="I366" s="31" t="s">
        <v>2214</v>
      </c>
      <c r="J366" t="s">
        <v>2253</v>
      </c>
    </row>
    <row r="367" spans="1:10" x14ac:dyDescent="0.25">
      <c r="A367">
        <v>11090</v>
      </c>
      <c r="B367">
        <f>VLOOKUP(A367,'Suc BD'!A:A,1,FALSE)</f>
        <v>11090</v>
      </c>
      <c r="C367" t="s">
        <v>1169</v>
      </c>
      <c r="D367" t="s">
        <v>14</v>
      </c>
      <c r="E367" t="s">
        <v>1170</v>
      </c>
      <c r="F367" t="s">
        <v>1164</v>
      </c>
      <c r="G367" t="s">
        <v>2193</v>
      </c>
      <c r="H367" t="s">
        <v>15</v>
      </c>
      <c r="I367" s="31" t="s">
        <v>2216</v>
      </c>
      <c r="J367" t="s">
        <v>2253</v>
      </c>
    </row>
    <row r="368" spans="1:10" x14ac:dyDescent="0.25">
      <c r="A368">
        <v>11440</v>
      </c>
      <c r="B368">
        <f>VLOOKUP(A368,'Suc BD'!A:A,1,FALSE)</f>
        <v>11440</v>
      </c>
      <c r="C368" t="s">
        <v>250</v>
      </c>
      <c r="D368" t="s">
        <v>8</v>
      </c>
      <c r="E368" t="s">
        <v>2331</v>
      </c>
      <c r="F368" t="s">
        <v>2237</v>
      </c>
      <c r="G368" t="s">
        <v>53</v>
      </c>
      <c r="H368" t="s">
        <v>9</v>
      </c>
      <c r="I368" s="31" t="s">
        <v>2213</v>
      </c>
      <c r="J368" t="s">
        <v>2253</v>
      </c>
    </row>
    <row r="369" spans="1:10" x14ac:dyDescent="0.25">
      <c r="A369">
        <v>11160</v>
      </c>
      <c r="B369">
        <f>VLOOKUP(A369,'Suc BD'!A:A,1,FALSE)</f>
        <v>11160</v>
      </c>
      <c r="C369" t="s">
        <v>1480</v>
      </c>
      <c r="D369" t="s">
        <v>16</v>
      </c>
      <c r="E369" t="s">
        <v>1481</v>
      </c>
      <c r="F369" t="s">
        <v>1482</v>
      </c>
      <c r="G369" t="s">
        <v>2201</v>
      </c>
      <c r="H369" t="s">
        <v>17</v>
      </c>
      <c r="I369" s="31" t="s">
        <v>2217</v>
      </c>
      <c r="J369" t="s">
        <v>2253</v>
      </c>
    </row>
    <row r="370" spans="1:10" x14ac:dyDescent="0.25">
      <c r="A370">
        <v>11018</v>
      </c>
      <c r="B370">
        <f>VLOOKUP(A370,'Suc BD'!A:A,1,FALSE)</f>
        <v>11018</v>
      </c>
      <c r="C370" t="s">
        <v>279</v>
      </c>
      <c r="D370" t="s">
        <v>8</v>
      </c>
      <c r="E370" t="s">
        <v>2307</v>
      </c>
      <c r="F370" t="s">
        <v>275</v>
      </c>
      <c r="G370" t="s">
        <v>2169</v>
      </c>
      <c r="H370" t="s">
        <v>9</v>
      </c>
      <c r="I370" s="31" t="s">
        <v>2213</v>
      </c>
      <c r="J370" t="s">
        <v>2253</v>
      </c>
    </row>
    <row r="371" spans="1:10" x14ac:dyDescent="0.25">
      <c r="A371">
        <v>11452</v>
      </c>
      <c r="B371">
        <f>VLOOKUP(A371,'Suc BD'!A:A,1,FALSE)</f>
        <v>11452</v>
      </c>
      <c r="C371" t="s">
        <v>2012</v>
      </c>
      <c r="D371" t="s">
        <v>10</v>
      </c>
      <c r="E371" t="s">
        <v>2411</v>
      </c>
      <c r="F371" t="s">
        <v>529</v>
      </c>
      <c r="G371" t="s">
        <v>2179</v>
      </c>
      <c r="H371" t="s">
        <v>11</v>
      </c>
      <c r="I371" s="31" t="s">
        <v>2214</v>
      </c>
      <c r="J371" t="s">
        <v>2253</v>
      </c>
    </row>
    <row r="372" spans="1:10" x14ac:dyDescent="0.25">
      <c r="A372">
        <v>11315</v>
      </c>
      <c r="B372">
        <f>VLOOKUP(A372,'Suc BD'!A:A,1,FALSE)</f>
        <v>11315</v>
      </c>
      <c r="C372" t="s">
        <v>1095</v>
      </c>
      <c r="D372" t="s">
        <v>14</v>
      </c>
      <c r="E372" t="s">
        <v>1060</v>
      </c>
      <c r="F372" t="s">
        <v>1061</v>
      </c>
      <c r="G372" t="s">
        <v>2191</v>
      </c>
      <c r="H372" t="s">
        <v>15</v>
      </c>
      <c r="I372" s="31" t="s">
        <v>2216</v>
      </c>
      <c r="J372" t="s">
        <v>2253</v>
      </c>
    </row>
    <row r="373" spans="1:10" x14ac:dyDescent="0.25">
      <c r="A373">
        <v>11601</v>
      </c>
      <c r="B373">
        <f>VLOOKUP(A373,'Suc BD'!A:A,1,FALSE)</f>
        <v>11601</v>
      </c>
      <c r="C373" t="s">
        <v>2031</v>
      </c>
      <c r="D373" t="s">
        <v>10</v>
      </c>
      <c r="E373" t="s">
        <v>2434</v>
      </c>
      <c r="F373" t="s">
        <v>714</v>
      </c>
      <c r="G373" t="s">
        <v>2181</v>
      </c>
      <c r="H373" t="s">
        <v>11</v>
      </c>
      <c r="I373" s="31" t="s">
        <v>2214</v>
      </c>
      <c r="J373" t="s">
        <v>2253</v>
      </c>
    </row>
    <row r="374" spans="1:10" x14ac:dyDescent="0.25">
      <c r="A374">
        <v>12334</v>
      </c>
      <c r="B374">
        <f>VLOOKUP(A374,'Suc BD'!A:A,1,FALSE)</f>
        <v>12334</v>
      </c>
      <c r="C374" t="s">
        <v>1845</v>
      </c>
      <c r="D374" t="s">
        <v>18</v>
      </c>
      <c r="E374" t="s">
        <v>1843</v>
      </c>
      <c r="F374" t="s">
        <v>1908</v>
      </c>
      <c r="G374" t="s">
        <v>2209</v>
      </c>
      <c r="H374" t="s">
        <v>395</v>
      </c>
      <c r="I374" s="31" t="s">
        <v>99</v>
      </c>
      <c r="J374" t="s">
        <v>2253</v>
      </c>
    </row>
    <row r="375" spans="1:10" x14ac:dyDescent="0.25">
      <c r="A375">
        <v>11574</v>
      </c>
      <c r="B375">
        <f>VLOOKUP(A375,'Suc BD'!A:A,1,FALSE)</f>
        <v>11574</v>
      </c>
      <c r="C375" t="s">
        <v>2020</v>
      </c>
      <c r="D375" t="s">
        <v>10</v>
      </c>
      <c r="E375" t="s">
        <v>2422</v>
      </c>
      <c r="F375" t="s">
        <v>675</v>
      </c>
      <c r="G375" t="s">
        <v>2180</v>
      </c>
      <c r="H375" t="s">
        <v>11</v>
      </c>
      <c r="I375" s="31" t="s">
        <v>2214</v>
      </c>
      <c r="J375" t="s">
        <v>2253</v>
      </c>
    </row>
    <row r="376" spans="1:10" x14ac:dyDescent="0.25">
      <c r="A376">
        <v>11511</v>
      </c>
      <c r="B376">
        <f>VLOOKUP(A376,'Suc BD'!A:A,1,FALSE)</f>
        <v>11511</v>
      </c>
      <c r="C376" t="s">
        <v>1783</v>
      </c>
      <c r="D376" t="s">
        <v>18</v>
      </c>
      <c r="E376" t="s">
        <v>1784</v>
      </c>
      <c r="F376" t="s">
        <v>1867</v>
      </c>
      <c r="G376" t="s">
        <v>2463</v>
      </c>
      <c r="H376" t="s">
        <v>395</v>
      </c>
      <c r="I376" s="31" t="s">
        <v>99</v>
      </c>
      <c r="J376" t="s">
        <v>2253</v>
      </c>
    </row>
    <row r="377" spans="1:10" x14ac:dyDescent="0.25">
      <c r="A377">
        <v>11447</v>
      </c>
      <c r="B377">
        <f>VLOOKUP(A377,'Suc BD'!A:A,1,FALSE)</f>
        <v>11447</v>
      </c>
      <c r="C377" t="s">
        <v>544</v>
      </c>
      <c r="D377" t="s">
        <v>10</v>
      </c>
      <c r="E377" t="s">
        <v>2371</v>
      </c>
      <c r="F377" t="s">
        <v>745</v>
      </c>
      <c r="G377" t="s">
        <v>2175</v>
      </c>
      <c r="H377" t="s">
        <v>11</v>
      </c>
      <c r="I377" s="31" t="s">
        <v>2214</v>
      </c>
      <c r="J377" t="s">
        <v>2253</v>
      </c>
    </row>
    <row r="378" spans="1:10" x14ac:dyDescent="0.25">
      <c r="A378">
        <v>11336</v>
      </c>
      <c r="B378">
        <f>VLOOKUP(A378,'Suc BD'!A:A,1,FALSE)</f>
        <v>11336</v>
      </c>
      <c r="C378" t="s">
        <v>1675</v>
      </c>
      <c r="D378" t="s">
        <v>16</v>
      </c>
      <c r="E378" t="s">
        <v>1676</v>
      </c>
      <c r="F378" t="s">
        <v>1658</v>
      </c>
      <c r="G378" t="s">
        <v>2205</v>
      </c>
      <c r="H378" t="s">
        <v>17</v>
      </c>
      <c r="I378" s="31" t="s">
        <v>2217</v>
      </c>
      <c r="J378" t="s">
        <v>2253</v>
      </c>
    </row>
    <row r="379" spans="1:10" x14ac:dyDescent="0.25">
      <c r="A379">
        <v>11225</v>
      </c>
      <c r="B379">
        <f>VLOOKUP(A379,'Suc BD'!A:A,1,FALSE)</f>
        <v>11225</v>
      </c>
      <c r="C379" t="s">
        <v>2035</v>
      </c>
      <c r="D379" t="s">
        <v>10</v>
      </c>
      <c r="E379" t="s">
        <v>2440</v>
      </c>
      <c r="F379" t="s">
        <v>555</v>
      </c>
      <c r="G379" t="s">
        <v>2182</v>
      </c>
      <c r="H379" t="s">
        <v>11</v>
      </c>
      <c r="I379" s="31" t="s">
        <v>2214</v>
      </c>
      <c r="J379" t="s">
        <v>2253</v>
      </c>
    </row>
    <row r="380" spans="1:10" x14ac:dyDescent="0.25">
      <c r="A380">
        <v>11035</v>
      </c>
      <c r="B380">
        <f>VLOOKUP(A380,'Suc BD'!A:A,1,FALSE)</f>
        <v>11035</v>
      </c>
      <c r="C380" t="s">
        <v>1279</v>
      </c>
      <c r="D380" t="s">
        <v>14</v>
      </c>
      <c r="E380" t="s">
        <v>1280</v>
      </c>
      <c r="F380" t="s">
        <v>1271</v>
      </c>
      <c r="G380" t="s">
        <v>2196</v>
      </c>
      <c r="H380" t="s">
        <v>15</v>
      </c>
      <c r="I380" s="31" t="s">
        <v>2216</v>
      </c>
      <c r="J380" t="s">
        <v>2253</v>
      </c>
    </row>
    <row r="381" spans="1:10" x14ac:dyDescent="0.25">
      <c r="A381">
        <v>11382</v>
      </c>
      <c r="B381">
        <f>VLOOKUP(A381,'Suc BD'!A:A,1,FALSE)</f>
        <v>11382</v>
      </c>
      <c r="C381" t="s">
        <v>2019</v>
      </c>
      <c r="D381" t="s">
        <v>10</v>
      </c>
      <c r="E381" t="s">
        <v>2421</v>
      </c>
      <c r="F381" t="s">
        <v>675</v>
      </c>
      <c r="G381" t="s">
        <v>2180</v>
      </c>
      <c r="H381" t="s">
        <v>11</v>
      </c>
      <c r="I381" s="31" t="s">
        <v>2214</v>
      </c>
      <c r="J381" t="s">
        <v>2253</v>
      </c>
    </row>
    <row r="382" spans="1:10" x14ac:dyDescent="0.25">
      <c r="A382">
        <v>11449</v>
      </c>
      <c r="B382">
        <f>VLOOKUP(A382,'Suc BD'!A:A,1,FALSE)</f>
        <v>11449</v>
      </c>
      <c r="C382" t="s">
        <v>469</v>
      </c>
      <c r="D382" t="s">
        <v>8</v>
      </c>
      <c r="E382" t="s">
        <v>2351</v>
      </c>
      <c r="F382" t="s">
        <v>440</v>
      </c>
      <c r="G382" t="s">
        <v>2173</v>
      </c>
      <c r="H382" t="s">
        <v>9</v>
      </c>
      <c r="I382" s="31" t="s">
        <v>2213</v>
      </c>
      <c r="J382" t="s">
        <v>2253</v>
      </c>
    </row>
    <row r="383" spans="1:10" x14ac:dyDescent="0.25">
      <c r="A383">
        <v>11325</v>
      </c>
      <c r="B383">
        <f>VLOOKUP(A383,'Suc BD'!A:A,1,FALSE)</f>
        <v>11325</v>
      </c>
      <c r="C383" t="s">
        <v>1616</v>
      </c>
      <c r="D383" t="s">
        <v>16</v>
      </c>
      <c r="E383" t="s">
        <v>1617</v>
      </c>
      <c r="F383" t="s">
        <v>1607</v>
      </c>
      <c r="G383" t="s">
        <v>2204</v>
      </c>
      <c r="H383" t="s">
        <v>17</v>
      </c>
      <c r="I383" s="31" t="s">
        <v>2217</v>
      </c>
      <c r="J383" t="s">
        <v>2253</v>
      </c>
    </row>
    <row r="384" spans="1:10" x14ac:dyDescent="0.25">
      <c r="A384">
        <v>11343</v>
      </c>
      <c r="B384">
        <f>VLOOKUP(A384,'Suc BD'!A:A,1,FALSE)</f>
        <v>11343</v>
      </c>
      <c r="C384" t="s">
        <v>867</v>
      </c>
      <c r="D384" t="s">
        <v>12</v>
      </c>
      <c r="E384" t="s">
        <v>2061</v>
      </c>
      <c r="F384" t="s">
        <v>859</v>
      </c>
      <c r="G384" t="s">
        <v>2186</v>
      </c>
      <c r="H384" t="s">
        <v>13</v>
      </c>
      <c r="I384" s="31" t="s">
        <v>2215</v>
      </c>
      <c r="J384" t="s">
        <v>2253</v>
      </c>
    </row>
    <row r="385" spans="1:10" x14ac:dyDescent="0.25">
      <c r="A385">
        <v>11285</v>
      </c>
      <c r="B385">
        <f>VLOOKUP(A385,'Suc BD'!A:A,1,FALSE)</f>
        <v>11285</v>
      </c>
      <c r="C385" t="s">
        <v>1491</v>
      </c>
      <c r="D385" t="s">
        <v>16</v>
      </c>
      <c r="E385" t="s">
        <v>2246</v>
      </c>
      <c r="F385" t="s">
        <v>1482</v>
      </c>
      <c r="G385" t="s">
        <v>2201</v>
      </c>
      <c r="H385" t="s">
        <v>17</v>
      </c>
      <c r="I385" s="31" t="s">
        <v>2217</v>
      </c>
      <c r="J385" t="s">
        <v>2253</v>
      </c>
    </row>
    <row r="386" spans="1:10" x14ac:dyDescent="0.25">
      <c r="A386">
        <v>12341</v>
      </c>
      <c r="B386">
        <f>VLOOKUP(A386,'Suc BD'!A:A,1,FALSE)</f>
        <v>12341</v>
      </c>
      <c r="C386" t="s">
        <v>356</v>
      </c>
      <c r="D386" t="s">
        <v>8</v>
      </c>
      <c r="E386" t="s">
        <v>2328</v>
      </c>
      <c r="F386" t="s">
        <v>316</v>
      </c>
      <c r="G386" t="s">
        <v>2170</v>
      </c>
      <c r="H386" t="s">
        <v>9</v>
      </c>
      <c r="I386" s="31" t="s">
        <v>2213</v>
      </c>
      <c r="J386" t="s">
        <v>2253</v>
      </c>
    </row>
    <row r="387" spans="1:10" x14ac:dyDescent="0.25">
      <c r="A387">
        <v>12320</v>
      </c>
      <c r="B387">
        <f>VLOOKUP(A387,'Suc BD'!A:A,1,FALSE)</f>
        <v>12320</v>
      </c>
      <c r="C387" t="s">
        <v>2007</v>
      </c>
      <c r="D387" t="s">
        <v>10</v>
      </c>
      <c r="E387" t="s">
        <v>2404</v>
      </c>
      <c r="F387" t="s">
        <v>646</v>
      </c>
      <c r="G387" t="s">
        <v>2178</v>
      </c>
      <c r="H387" t="s">
        <v>11</v>
      </c>
      <c r="I387" s="31" t="s">
        <v>2214</v>
      </c>
      <c r="J387" t="s">
        <v>2253</v>
      </c>
    </row>
    <row r="388" spans="1:10" x14ac:dyDescent="0.25">
      <c r="A388">
        <v>11463</v>
      </c>
      <c r="B388">
        <f>VLOOKUP(A388,'Suc BD'!A:A,1,FALSE)</f>
        <v>11463</v>
      </c>
      <c r="C388" t="s">
        <v>2030</v>
      </c>
      <c r="D388" t="s">
        <v>10</v>
      </c>
      <c r="E388" t="s">
        <v>2433</v>
      </c>
      <c r="F388" t="s">
        <v>714</v>
      </c>
      <c r="G388" t="s">
        <v>2181</v>
      </c>
      <c r="H388" t="s">
        <v>11</v>
      </c>
      <c r="I388" s="31" t="s">
        <v>2214</v>
      </c>
      <c r="J388" t="s">
        <v>2253</v>
      </c>
    </row>
    <row r="389" spans="1:10" x14ac:dyDescent="0.25">
      <c r="A389">
        <v>11465</v>
      </c>
      <c r="B389">
        <f>VLOOKUP(A389,'Suc BD'!A:A,1,FALSE)</f>
        <v>11465</v>
      </c>
      <c r="C389" t="s">
        <v>1834</v>
      </c>
      <c r="D389" t="s">
        <v>18</v>
      </c>
      <c r="E389" t="s">
        <v>2139</v>
      </c>
      <c r="F389" t="s">
        <v>1908</v>
      </c>
      <c r="G389" t="s">
        <v>2209</v>
      </c>
      <c r="H389" t="s">
        <v>395</v>
      </c>
      <c r="I389" s="31" t="s">
        <v>99</v>
      </c>
      <c r="J389" t="s">
        <v>2253</v>
      </c>
    </row>
    <row r="390" spans="1:10" x14ac:dyDescent="0.25">
      <c r="A390">
        <v>11210</v>
      </c>
      <c r="B390">
        <f>VLOOKUP(A390,'Suc BD'!A:A,1,FALSE)</f>
        <v>11210</v>
      </c>
      <c r="C390" t="s">
        <v>332</v>
      </c>
      <c r="D390" t="s">
        <v>8</v>
      </c>
      <c r="E390" t="s">
        <v>2322</v>
      </c>
      <c r="F390" t="s">
        <v>316</v>
      </c>
      <c r="G390" t="s">
        <v>2170</v>
      </c>
      <c r="H390" t="s">
        <v>9</v>
      </c>
      <c r="I390" s="31" t="s">
        <v>2213</v>
      </c>
      <c r="J390" t="s">
        <v>2253</v>
      </c>
    </row>
    <row r="391" spans="1:10" x14ac:dyDescent="0.25">
      <c r="A391">
        <v>11530</v>
      </c>
      <c r="B391">
        <f>VLOOKUP(A391,'Suc BD'!A:A,1,FALSE)</f>
        <v>11530</v>
      </c>
      <c r="C391" t="s">
        <v>1980</v>
      </c>
      <c r="D391" t="s">
        <v>10</v>
      </c>
      <c r="E391" t="s">
        <v>2372</v>
      </c>
      <c r="F391" t="s">
        <v>745</v>
      </c>
      <c r="G391" t="s">
        <v>2175</v>
      </c>
      <c r="H391" t="s">
        <v>11</v>
      </c>
      <c r="I391" s="31" t="s">
        <v>2214</v>
      </c>
      <c r="J391" t="s">
        <v>2253</v>
      </c>
    </row>
    <row r="392" spans="1:10" x14ac:dyDescent="0.25">
      <c r="A392">
        <v>11536</v>
      </c>
      <c r="B392">
        <f>VLOOKUP(A392,'Suc BD'!A:A,1,FALSE)</f>
        <v>11536</v>
      </c>
      <c r="C392" t="s">
        <v>1591</v>
      </c>
      <c r="D392" t="s">
        <v>16</v>
      </c>
      <c r="E392" t="s">
        <v>1592</v>
      </c>
      <c r="F392" t="s">
        <v>1568</v>
      </c>
      <c r="G392" t="s">
        <v>2203</v>
      </c>
      <c r="H392" t="s">
        <v>17</v>
      </c>
      <c r="I392" s="31" t="s">
        <v>2217</v>
      </c>
      <c r="J392" t="s">
        <v>2253</v>
      </c>
    </row>
    <row r="393" spans="1:10" x14ac:dyDescent="0.25">
      <c r="A393">
        <v>11828</v>
      </c>
      <c r="B393">
        <f>VLOOKUP(A393,'Suc BD'!A:A,1,FALSE)</f>
        <v>11828</v>
      </c>
      <c r="C393" t="s">
        <v>1988</v>
      </c>
      <c r="D393" t="s">
        <v>10</v>
      </c>
      <c r="E393" t="s">
        <v>2382</v>
      </c>
      <c r="F393" t="s">
        <v>618</v>
      </c>
      <c r="G393" t="s">
        <v>2176</v>
      </c>
      <c r="H393" t="s">
        <v>11</v>
      </c>
      <c r="I393" s="31" t="s">
        <v>2214</v>
      </c>
      <c r="J393" t="s">
        <v>2253</v>
      </c>
    </row>
    <row r="394" spans="1:10" x14ac:dyDescent="0.25">
      <c r="A394">
        <v>11177</v>
      </c>
      <c r="B394">
        <f>VLOOKUP(A394,'Suc BD'!A:A,1,FALSE)</f>
        <v>11177</v>
      </c>
      <c r="C394" t="s">
        <v>1486</v>
      </c>
      <c r="D394" t="s">
        <v>16</v>
      </c>
      <c r="E394" t="s">
        <v>1487</v>
      </c>
      <c r="F394" t="s">
        <v>1482</v>
      </c>
      <c r="G394" t="s">
        <v>2201</v>
      </c>
      <c r="H394" t="s">
        <v>17</v>
      </c>
      <c r="I394" s="31" t="s">
        <v>2217</v>
      </c>
      <c r="J394" t="s">
        <v>2253</v>
      </c>
    </row>
    <row r="395" spans="1:10" x14ac:dyDescent="0.25">
      <c r="A395">
        <v>11014</v>
      </c>
      <c r="B395">
        <f>VLOOKUP(A395,'Suc BD'!A:A,1,FALSE)</f>
        <v>11014</v>
      </c>
      <c r="C395" t="s">
        <v>1162</v>
      </c>
      <c r="D395" t="s">
        <v>14</v>
      </c>
      <c r="E395" t="s">
        <v>1163</v>
      </c>
      <c r="F395" t="s">
        <v>1164</v>
      </c>
      <c r="G395" t="s">
        <v>2193</v>
      </c>
      <c r="H395" t="s">
        <v>15</v>
      </c>
      <c r="I395" s="31" t="s">
        <v>2216</v>
      </c>
      <c r="J395" t="s">
        <v>2253</v>
      </c>
    </row>
    <row r="396" spans="1:10" x14ac:dyDescent="0.25">
      <c r="A396">
        <v>11304</v>
      </c>
      <c r="B396">
        <f>VLOOKUP(A396,'Suc BD'!A:A,1,FALSE)</f>
        <v>11304</v>
      </c>
      <c r="C396" t="s">
        <v>1723</v>
      </c>
      <c r="D396" t="s">
        <v>18</v>
      </c>
      <c r="E396" t="s">
        <v>1724</v>
      </c>
      <c r="F396" t="s">
        <v>1708</v>
      </c>
      <c r="G396" t="s">
        <v>2206</v>
      </c>
      <c r="H396" t="s">
        <v>395</v>
      </c>
      <c r="I396" s="31" t="s">
        <v>99</v>
      </c>
      <c r="J396" t="s">
        <v>2253</v>
      </c>
    </row>
    <row r="397" spans="1:10" x14ac:dyDescent="0.25">
      <c r="A397">
        <v>11532</v>
      </c>
      <c r="B397">
        <f>VLOOKUP(A397,'Suc BD'!A:A,1,FALSE)</f>
        <v>11532</v>
      </c>
      <c r="C397" t="s">
        <v>1100</v>
      </c>
      <c r="D397" t="s">
        <v>14</v>
      </c>
      <c r="E397" t="s">
        <v>1101</v>
      </c>
      <c r="F397" t="s">
        <v>1061</v>
      </c>
      <c r="G397" t="s">
        <v>2191</v>
      </c>
      <c r="H397" t="s">
        <v>15</v>
      </c>
      <c r="I397" s="31" t="s">
        <v>2216</v>
      </c>
      <c r="J397" t="s">
        <v>2253</v>
      </c>
    </row>
    <row r="398" spans="1:10" x14ac:dyDescent="0.25">
      <c r="A398">
        <v>11218</v>
      </c>
      <c r="B398">
        <f>VLOOKUP(A398,'Suc BD'!A:A,1,FALSE)</f>
        <v>11218</v>
      </c>
      <c r="C398" t="s">
        <v>998</v>
      </c>
      <c r="D398" t="s">
        <v>14</v>
      </c>
      <c r="E398" t="s">
        <v>999</v>
      </c>
      <c r="F398" t="s">
        <v>1000</v>
      </c>
      <c r="G398" t="s">
        <v>2190</v>
      </c>
      <c r="H398" t="s">
        <v>15</v>
      </c>
      <c r="I398" s="31" t="s">
        <v>2216</v>
      </c>
      <c r="J398" t="s">
        <v>2253</v>
      </c>
    </row>
    <row r="399" spans="1:10" x14ac:dyDescent="0.25">
      <c r="A399">
        <v>11132</v>
      </c>
      <c r="B399">
        <f>VLOOKUP(A399,'Suc BD'!A:A,1,FALSE)</f>
        <v>11132</v>
      </c>
      <c r="C399" t="s">
        <v>195</v>
      </c>
      <c r="D399" t="s">
        <v>8</v>
      </c>
      <c r="E399" t="s">
        <v>2284</v>
      </c>
      <c r="F399" t="s">
        <v>196</v>
      </c>
      <c r="G399" t="s">
        <v>2168</v>
      </c>
      <c r="H399" t="s">
        <v>9</v>
      </c>
      <c r="I399" s="31" t="s">
        <v>2213</v>
      </c>
      <c r="J399" t="s">
        <v>2253</v>
      </c>
    </row>
    <row r="400" spans="1:10" x14ac:dyDescent="0.25">
      <c r="A400">
        <v>12349</v>
      </c>
      <c r="B400">
        <f>VLOOKUP(A400,'Suc BD'!A:A,1,FALSE)</f>
        <v>12349</v>
      </c>
      <c r="C400" t="s">
        <v>237</v>
      </c>
      <c r="D400" t="s">
        <v>8</v>
      </c>
      <c r="E400" t="s">
        <v>2294</v>
      </c>
      <c r="F400" t="s">
        <v>196</v>
      </c>
      <c r="G400" t="s">
        <v>2168</v>
      </c>
      <c r="H400" t="s">
        <v>9</v>
      </c>
      <c r="I400" s="31" t="s">
        <v>2213</v>
      </c>
      <c r="J400" t="s">
        <v>2253</v>
      </c>
    </row>
    <row r="401" spans="1:10" x14ac:dyDescent="0.25">
      <c r="A401">
        <v>11017</v>
      </c>
      <c r="B401">
        <f>VLOOKUP(A401,'Suc BD'!A:A,1,FALSE)</f>
        <v>11017</v>
      </c>
      <c r="C401" t="s">
        <v>1966</v>
      </c>
      <c r="D401" t="s">
        <v>8</v>
      </c>
      <c r="E401" t="s">
        <v>2306</v>
      </c>
      <c r="F401" t="s">
        <v>275</v>
      </c>
      <c r="G401" t="s">
        <v>2169</v>
      </c>
      <c r="H401" t="s">
        <v>9</v>
      </c>
      <c r="I401" s="31" t="s">
        <v>2213</v>
      </c>
      <c r="J401" t="s">
        <v>2253</v>
      </c>
    </row>
    <row r="402" spans="1:10" x14ac:dyDescent="0.25">
      <c r="A402">
        <v>12368</v>
      </c>
      <c r="B402" t="e">
        <f>VLOOKUP(A402,'Suc BD'!A:A,1,FALSE)</f>
        <v>#N/A</v>
      </c>
      <c r="C402" t="s">
        <v>1954</v>
      </c>
      <c r="D402" t="s">
        <v>14</v>
      </c>
      <c r="E402" t="s">
        <v>1327</v>
      </c>
      <c r="F402" t="s">
        <v>1317</v>
      </c>
      <c r="G402" t="s">
        <v>2197</v>
      </c>
      <c r="H402" t="s">
        <v>15</v>
      </c>
      <c r="I402" s="31" t="s">
        <v>2216</v>
      </c>
      <c r="J402" t="s">
        <v>2253</v>
      </c>
    </row>
    <row r="403" spans="1:10" x14ac:dyDescent="0.25">
      <c r="A403">
        <v>11743</v>
      </c>
      <c r="B403">
        <f>VLOOKUP(A403,'Suc BD'!A:A,1,FALSE)</f>
        <v>11743</v>
      </c>
      <c r="C403" t="s">
        <v>1987</v>
      </c>
      <c r="D403" t="s">
        <v>10</v>
      </c>
      <c r="E403" t="s">
        <v>2381</v>
      </c>
      <c r="F403" t="s">
        <v>618</v>
      </c>
      <c r="G403" t="s">
        <v>2176</v>
      </c>
      <c r="H403" t="s">
        <v>11</v>
      </c>
      <c r="I403" s="31" t="s">
        <v>2214</v>
      </c>
      <c r="J403" t="s">
        <v>2253</v>
      </c>
    </row>
    <row r="404" spans="1:10" x14ac:dyDescent="0.25">
      <c r="A404">
        <v>11100</v>
      </c>
      <c r="B404">
        <f>VLOOKUP(A404,'Suc BD'!A:A,1,FALSE)</f>
        <v>11100</v>
      </c>
      <c r="C404" t="s">
        <v>2010</v>
      </c>
      <c r="D404" t="s">
        <v>10</v>
      </c>
      <c r="E404" t="s">
        <v>2407</v>
      </c>
      <c r="F404" t="s">
        <v>529</v>
      </c>
      <c r="G404" t="s">
        <v>2179</v>
      </c>
      <c r="H404" t="s">
        <v>11</v>
      </c>
      <c r="I404" s="31" t="s">
        <v>2214</v>
      </c>
      <c r="J404" t="s">
        <v>2253</v>
      </c>
    </row>
    <row r="405" spans="1:10" x14ac:dyDescent="0.25">
      <c r="A405">
        <v>11778</v>
      </c>
      <c r="B405">
        <f>VLOOKUP(A405,'Suc BD'!A:A,1,FALSE)</f>
        <v>11778</v>
      </c>
      <c r="C405" t="s">
        <v>480</v>
      </c>
      <c r="D405" t="s">
        <v>8</v>
      </c>
      <c r="E405" t="s">
        <v>2354</v>
      </c>
      <c r="F405" t="s">
        <v>440</v>
      </c>
      <c r="G405" t="s">
        <v>2173</v>
      </c>
      <c r="H405" t="s">
        <v>9</v>
      </c>
      <c r="I405" s="31" t="s">
        <v>2213</v>
      </c>
      <c r="J405" t="s">
        <v>2253</v>
      </c>
    </row>
    <row r="406" spans="1:10" x14ac:dyDescent="0.25">
      <c r="A406">
        <v>12374</v>
      </c>
      <c r="B406" t="e">
        <f>VLOOKUP(A406,'Suc BD'!A:A,1,FALSE)</f>
        <v>#N/A</v>
      </c>
      <c r="C406" t="s">
        <v>2097</v>
      </c>
      <c r="D406" t="s">
        <v>10</v>
      </c>
      <c r="E406" t="s">
        <v>2426</v>
      </c>
      <c r="F406" t="s">
        <v>675</v>
      </c>
      <c r="G406" t="s">
        <v>2180</v>
      </c>
      <c r="H406" t="s">
        <v>11</v>
      </c>
      <c r="I406" s="31" t="s">
        <v>2214</v>
      </c>
      <c r="J406" t="s">
        <v>2253</v>
      </c>
    </row>
    <row r="407" spans="1:10" x14ac:dyDescent="0.25">
      <c r="A407">
        <v>12338</v>
      </c>
      <c r="B407">
        <f>VLOOKUP(A407,'Suc BD'!A:A,1,FALSE)</f>
        <v>12338</v>
      </c>
      <c r="C407" t="s">
        <v>140</v>
      </c>
      <c r="D407" t="s">
        <v>18</v>
      </c>
      <c r="E407" t="s">
        <v>1937</v>
      </c>
      <c r="F407" t="s">
        <v>1806</v>
      </c>
      <c r="G407" t="s">
        <v>2207</v>
      </c>
      <c r="H407" t="s">
        <v>395</v>
      </c>
      <c r="I407" s="31" t="s">
        <v>99</v>
      </c>
      <c r="J407" t="s">
        <v>2253</v>
      </c>
    </row>
    <row r="408" spans="1:10" x14ac:dyDescent="0.25">
      <c r="A408">
        <v>11381</v>
      </c>
      <c r="B408">
        <f>VLOOKUP(A408,'Suc BD'!A:A,1,FALSE)</f>
        <v>11381</v>
      </c>
      <c r="C408" t="s">
        <v>1410</v>
      </c>
      <c r="D408" t="s">
        <v>16</v>
      </c>
      <c r="E408" t="s">
        <v>1411</v>
      </c>
      <c r="F408" t="s">
        <v>1388</v>
      </c>
      <c r="G408" t="s">
        <v>2199</v>
      </c>
      <c r="H408" t="s">
        <v>17</v>
      </c>
      <c r="I408" s="31" t="s">
        <v>2217</v>
      </c>
      <c r="J408" t="s">
        <v>2253</v>
      </c>
    </row>
    <row r="409" spans="1:10" x14ac:dyDescent="0.25">
      <c r="A409">
        <v>11935</v>
      </c>
      <c r="B409">
        <f>VLOOKUP(A409,'Suc BD'!A:A,1,FALSE)</f>
        <v>11935</v>
      </c>
      <c r="C409" t="s">
        <v>1737</v>
      </c>
      <c r="D409" t="s">
        <v>18</v>
      </c>
      <c r="E409" t="s">
        <v>1738</v>
      </c>
      <c r="F409" t="s">
        <v>1708</v>
      </c>
      <c r="G409" t="s">
        <v>2206</v>
      </c>
      <c r="H409" t="s">
        <v>395</v>
      </c>
      <c r="I409" s="31" t="s">
        <v>99</v>
      </c>
      <c r="J409" t="s">
        <v>2253</v>
      </c>
    </row>
    <row r="410" spans="1:10" x14ac:dyDescent="0.25">
      <c r="A410">
        <v>11224</v>
      </c>
      <c r="B410">
        <f>VLOOKUP(A410,'Suc BD'!A:A,1,FALSE)</f>
        <v>11224</v>
      </c>
      <c r="C410" t="s">
        <v>1912</v>
      </c>
      <c r="D410" t="s">
        <v>18</v>
      </c>
      <c r="E410" t="s">
        <v>1963</v>
      </c>
      <c r="F410" t="s">
        <v>1908</v>
      </c>
      <c r="G410" t="s">
        <v>2209</v>
      </c>
      <c r="H410" t="s">
        <v>395</v>
      </c>
      <c r="I410" s="31" t="s">
        <v>99</v>
      </c>
      <c r="J410" t="s">
        <v>2253</v>
      </c>
    </row>
    <row r="411" spans="1:10" x14ac:dyDescent="0.25">
      <c r="A411">
        <v>11303</v>
      </c>
      <c r="B411">
        <f>VLOOKUP(A411,'Suc BD'!A:A,1,FALSE)</f>
        <v>11303</v>
      </c>
      <c r="C411" t="s">
        <v>1718</v>
      </c>
      <c r="D411" t="s">
        <v>18</v>
      </c>
      <c r="E411" t="s">
        <v>1719</v>
      </c>
      <c r="F411" t="s">
        <v>1708</v>
      </c>
      <c r="G411" t="s">
        <v>2206</v>
      </c>
      <c r="H411" t="s">
        <v>395</v>
      </c>
      <c r="I411" s="31" t="s">
        <v>99</v>
      </c>
      <c r="J411" t="s">
        <v>2253</v>
      </c>
    </row>
    <row r="412" spans="1:10" x14ac:dyDescent="0.25">
      <c r="A412">
        <v>11575</v>
      </c>
      <c r="B412">
        <f>VLOOKUP(A412,'Suc BD'!A:A,1,FALSE)</f>
        <v>11575</v>
      </c>
      <c r="C412" t="s">
        <v>1417</v>
      </c>
      <c r="D412" t="s">
        <v>16</v>
      </c>
      <c r="E412" t="s">
        <v>1418</v>
      </c>
      <c r="F412" t="s">
        <v>1388</v>
      </c>
      <c r="G412" t="s">
        <v>2199</v>
      </c>
      <c r="H412" t="s">
        <v>17</v>
      </c>
      <c r="I412" s="31" t="s">
        <v>2217</v>
      </c>
      <c r="J412" t="s">
        <v>2253</v>
      </c>
    </row>
    <row r="413" spans="1:10" x14ac:dyDescent="0.25">
      <c r="A413">
        <v>11046</v>
      </c>
      <c r="B413">
        <f>VLOOKUP(A413,'Suc BD'!A:A,1,FALSE)</f>
        <v>11046</v>
      </c>
      <c r="C413" t="s">
        <v>1203</v>
      </c>
      <c r="D413" t="s">
        <v>14</v>
      </c>
      <c r="E413" t="s">
        <v>2112</v>
      </c>
      <c r="F413" t="s">
        <v>1205</v>
      </c>
      <c r="G413" t="s">
        <v>2194</v>
      </c>
      <c r="H413" t="s">
        <v>15</v>
      </c>
      <c r="I413" s="31" t="s">
        <v>2216</v>
      </c>
      <c r="J413" t="s">
        <v>2253</v>
      </c>
    </row>
    <row r="414" spans="1:10" x14ac:dyDescent="0.25">
      <c r="A414">
        <v>11328</v>
      </c>
      <c r="B414">
        <f>VLOOKUP(A414,'Suc BD'!A:A,1,FALSE)</f>
        <v>11328</v>
      </c>
      <c r="C414" t="s">
        <v>1861</v>
      </c>
      <c r="D414" t="s">
        <v>18</v>
      </c>
      <c r="E414" t="s">
        <v>1862</v>
      </c>
      <c r="F414" t="s">
        <v>1806</v>
      </c>
      <c r="G414" t="s">
        <v>2207</v>
      </c>
      <c r="H414" t="s">
        <v>395</v>
      </c>
      <c r="I414" s="31" t="s">
        <v>99</v>
      </c>
      <c r="J414" t="s">
        <v>2253</v>
      </c>
    </row>
    <row r="415" spans="1:10" x14ac:dyDescent="0.25">
      <c r="A415">
        <v>11459</v>
      </c>
      <c r="B415">
        <f>VLOOKUP(A415,'Suc BD'!A:A,1,FALSE)</f>
        <v>11459</v>
      </c>
      <c r="C415" t="s">
        <v>1508</v>
      </c>
      <c r="D415" t="s">
        <v>16</v>
      </c>
      <c r="E415" t="s">
        <v>1509</v>
      </c>
      <c r="F415" t="s">
        <v>1482</v>
      </c>
      <c r="G415" t="s">
        <v>2201</v>
      </c>
      <c r="H415" t="s">
        <v>17</v>
      </c>
      <c r="I415" s="31" t="s">
        <v>2217</v>
      </c>
      <c r="J415" t="s">
        <v>2253</v>
      </c>
    </row>
    <row r="416" spans="1:10" x14ac:dyDescent="0.25">
      <c r="A416">
        <v>11305</v>
      </c>
      <c r="B416">
        <f>VLOOKUP(A416,'Suc BD'!A:A,1,FALSE)</f>
        <v>11305</v>
      </c>
      <c r="C416" t="s">
        <v>1090</v>
      </c>
      <c r="D416" t="s">
        <v>14</v>
      </c>
      <c r="E416" t="s">
        <v>1091</v>
      </c>
      <c r="F416" t="s">
        <v>1061</v>
      </c>
      <c r="G416" t="s">
        <v>2191</v>
      </c>
      <c r="H416" t="s">
        <v>15</v>
      </c>
      <c r="I416" s="31" t="s">
        <v>2216</v>
      </c>
      <c r="J416" t="s">
        <v>2253</v>
      </c>
    </row>
    <row r="417" spans="1:10" x14ac:dyDescent="0.25">
      <c r="A417">
        <v>11110</v>
      </c>
      <c r="B417">
        <f>VLOOKUP(A417,'Suc BD'!A:A,1,FALSE)</f>
        <v>11110</v>
      </c>
      <c r="C417" t="s">
        <v>2024</v>
      </c>
      <c r="D417" t="s">
        <v>10</v>
      </c>
      <c r="E417" t="s">
        <v>2427</v>
      </c>
      <c r="F417" t="s">
        <v>714</v>
      </c>
      <c r="G417" t="s">
        <v>2181</v>
      </c>
      <c r="H417" t="s">
        <v>11</v>
      </c>
      <c r="I417" s="31" t="s">
        <v>2214</v>
      </c>
      <c r="J417" t="s">
        <v>2253</v>
      </c>
    </row>
    <row r="418" spans="1:10" x14ac:dyDescent="0.25">
      <c r="A418">
        <v>11436</v>
      </c>
      <c r="B418">
        <f>VLOOKUP(A418,'Suc BD'!A:A,1,FALSE)</f>
        <v>11436</v>
      </c>
      <c r="C418" t="s">
        <v>1925</v>
      </c>
      <c r="D418" t="s">
        <v>18</v>
      </c>
      <c r="E418" t="s">
        <v>2125</v>
      </c>
      <c r="F418" t="s">
        <v>1908</v>
      </c>
      <c r="G418" t="s">
        <v>2209</v>
      </c>
      <c r="H418" t="s">
        <v>395</v>
      </c>
      <c r="I418" s="31" t="s">
        <v>99</v>
      </c>
      <c r="J418" t="s">
        <v>2253</v>
      </c>
    </row>
    <row r="419" spans="1:10" x14ac:dyDescent="0.25">
      <c r="A419">
        <v>11326</v>
      </c>
      <c r="B419">
        <f>VLOOKUP(A419,'Suc BD'!A:A,1,FALSE)</f>
        <v>11326</v>
      </c>
      <c r="C419" t="s">
        <v>1916</v>
      </c>
      <c r="D419" t="s">
        <v>18</v>
      </c>
      <c r="E419" t="s">
        <v>1917</v>
      </c>
      <c r="F419" t="s">
        <v>1806</v>
      </c>
      <c r="G419" t="s">
        <v>2207</v>
      </c>
      <c r="H419" t="s">
        <v>395</v>
      </c>
      <c r="I419" s="31" t="s">
        <v>99</v>
      </c>
      <c r="J419" t="s">
        <v>2253</v>
      </c>
    </row>
    <row r="420" spans="1:10" x14ac:dyDescent="0.25">
      <c r="A420">
        <v>11630</v>
      </c>
      <c r="B420">
        <f>VLOOKUP(A420,'Suc BD'!A:A,1,FALSE)</f>
        <v>11630</v>
      </c>
      <c r="C420" t="s">
        <v>2021</v>
      </c>
      <c r="D420" t="s">
        <v>10</v>
      </c>
      <c r="E420" t="s">
        <v>2423</v>
      </c>
      <c r="F420" t="s">
        <v>675</v>
      </c>
      <c r="G420" t="s">
        <v>2180</v>
      </c>
      <c r="H420" t="s">
        <v>11</v>
      </c>
      <c r="I420" s="31" t="s">
        <v>2214</v>
      </c>
      <c r="J420" t="s">
        <v>2253</v>
      </c>
    </row>
    <row r="421" spans="1:10" x14ac:dyDescent="0.25">
      <c r="A421">
        <v>11479</v>
      </c>
      <c r="B421">
        <f>VLOOKUP(A421,'Suc BD'!A:A,1,FALSE)</f>
        <v>11479</v>
      </c>
      <c r="C421" t="s">
        <v>1550</v>
      </c>
      <c r="D421" t="s">
        <v>16</v>
      </c>
      <c r="E421" t="s">
        <v>1551</v>
      </c>
      <c r="F421" t="s">
        <v>1528</v>
      </c>
      <c r="G421" t="s">
        <v>2202</v>
      </c>
      <c r="H421" t="s">
        <v>17</v>
      </c>
      <c r="I421" s="31" t="s">
        <v>2217</v>
      </c>
      <c r="J421" t="s">
        <v>2253</v>
      </c>
    </row>
    <row r="422" spans="1:10" x14ac:dyDescent="0.25">
      <c r="A422">
        <v>11216</v>
      </c>
      <c r="B422">
        <f>VLOOKUP(A422,'Suc BD'!A:A,1,FALSE)</f>
        <v>11216</v>
      </c>
      <c r="C422" t="s">
        <v>1436</v>
      </c>
      <c r="D422" t="s">
        <v>16</v>
      </c>
      <c r="E422" t="s">
        <v>1437</v>
      </c>
      <c r="F422" t="s">
        <v>1431</v>
      </c>
      <c r="G422" t="s">
        <v>2200</v>
      </c>
      <c r="H422" t="s">
        <v>17</v>
      </c>
      <c r="I422" s="31" t="s">
        <v>2217</v>
      </c>
      <c r="J422" t="s">
        <v>2253</v>
      </c>
    </row>
    <row r="423" spans="1:10" x14ac:dyDescent="0.25">
      <c r="A423">
        <v>11275</v>
      </c>
      <c r="B423">
        <f>VLOOKUP(A423,'Suc BD'!A:A,1,FALSE)</f>
        <v>11275</v>
      </c>
      <c r="C423" t="s">
        <v>1075</v>
      </c>
      <c r="D423" t="s">
        <v>14</v>
      </c>
      <c r="E423" t="s">
        <v>1076</v>
      </c>
      <c r="F423" t="s">
        <v>1061</v>
      </c>
      <c r="G423" t="s">
        <v>2191</v>
      </c>
      <c r="H423" t="s">
        <v>15</v>
      </c>
      <c r="I423" s="31" t="s">
        <v>2216</v>
      </c>
      <c r="J423" t="s">
        <v>2253</v>
      </c>
    </row>
    <row r="424" spans="1:10" x14ac:dyDescent="0.25">
      <c r="A424">
        <v>12380</v>
      </c>
      <c r="B424" t="e">
        <f>VLOOKUP(A424,'Suc BD'!A:A,1,FALSE)</f>
        <v>#N/A</v>
      </c>
      <c r="C424" t="s">
        <v>2098</v>
      </c>
      <c r="D424" t="s">
        <v>10</v>
      </c>
      <c r="E424" t="s">
        <v>2445</v>
      </c>
      <c r="F424" t="s">
        <v>555</v>
      </c>
      <c r="G424" t="s">
        <v>2182</v>
      </c>
      <c r="H424" t="s">
        <v>11</v>
      </c>
      <c r="I424" s="31" t="s">
        <v>2214</v>
      </c>
      <c r="J424" t="s">
        <v>2253</v>
      </c>
    </row>
    <row r="425" spans="1:10" x14ac:dyDescent="0.25">
      <c r="A425">
        <v>11776</v>
      </c>
      <c r="B425">
        <f>VLOOKUP(A425,'Suc BD'!A:A,1,FALSE)</f>
        <v>11776</v>
      </c>
      <c r="C425" t="s">
        <v>86</v>
      </c>
      <c r="D425" t="s">
        <v>8</v>
      </c>
      <c r="E425" t="s">
        <v>395</v>
      </c>
      <c r="F425" t="s">
        <v>52</v>
      </c>
      <c r="G425" t="s">
        <v>2165</v>
      </c>
      <c r="H425" t="s">
        <v>9</v>
      </c>
      <c r="I425" s="31" t="s">
        <v>2213</v>
      </c>
      <c r="J425" t="s">
        <v>2253</v>
      </c>
    </row>
    <row r="426" spans="1:10" x14ac:dyDescent="0.25">
      <c r="A426">
        <v>11849</v>
      </c>
      <c r="B426">
        <f>VLOOKUP(A426,'Suc BD'!A:A,1,FALSE)</f>
        <v>11849</v>
      </c>
      <c r="C426" t="s">
        <v>72</v>
      </c>
      <c r="D426" t="s">
        <v>8</v>
      </c>
      <c r="E426" t="s">
        <v>395</v>
      </c>
      <c r="F426" t="s">
        <v>52</v>
      </c>
      <c r="G426" t="s">
        <v>2165</v>
      </c>
      <c r="H426" t="s">
        <v>9</v>
      </c>
      <c r="I426" s="31" t="s">
        <v>2213</v>
      </c>
      <c r="J426" t="s">
        <v>2253</v>
      </c>
    </row>
    <row r="427" spans="1:10" x14ac:dyDescent="0.25">
      <c r="A427">
        <v>11196</v>
      </c>
      <c r="B427">
        <f>VLOOKUP(A427,'Suc BD'!A:A,1,FALSE)</f>
        <v>11196</v>
      </c>
      <c r="C427" t="s">
        <v>120</v>
      </c>
      <c r="D427" t="s">
        <v>8</v>
      </c>
      <c r="E427" t="s">
        <v>395</v>
      </c>
      <c r="F427" t="s">
        <v>111</v>
      </c>
      <c r="G427" t="s">
        <v>2166</v>
      </c>
      <c r="H427" t="s">
        <v>9</v>
      </c>
      <c r="I427" s="31" t="s">
        <v>2213</v>
      </c>
      <c r="J427" t="s">
        <v>2253</v>
      </c>
    </row>
    <row r="428" spans="1:10" x14ac:dyDescent="0.25">
      <c r="A428">
        <v>12311</v>
      </c>
      <c r="B428">
        <f>VLOOKUP(A428,'Suc BD'!A:A,1,FALSE)</f>
        <v>12311</v>
      </c>
      <c r="C428" t="s">
        <v>270</v>
      </c>
      <c r="D428" t="s">
        <v>8</v>
      </c>
      <c r="E428" t="s">
        <v>395</v>
      </c>
      <c r="F428" t="s">
        <v>2237</v>
      </c>
      <c r="G428" t="s">
        <v>53</v>
      </c>
      <c r="H428" t="s">
        <v>9</v>
      </c>
      <c r="I428" s="31" t="s">
        <v>2213</v>
      </c>
      <c r="J428" t="s">
        <v>2253</v>
      </c>
    </row>
    <row r="429" spans="1:10" x14ac:dyDescent="0.25">
      <c r="A429">
        <v>11029</v>
      </c>
      <c r="B429">
        <f>VLOOKUP(A429,'Suc BD'!A:A,1,FALSE)</f>
        <v>11029</v>
      </c>
      <c r="C429" t="s">
        <v>491</v>
      </c>
      <c r="D429" t="s">
        <v>10</v>
      </c>
      <c r="E429" t="s">
        <v>395</v>
      </c>
      <c r="F429" t="s">
        <v>745</v>
      </c>
      <c r="G429" t="s">
        <v>2175</v>
      </c>
      <c r="H429" t="s">
        <v>11</v>
      </c>
      <c r="I429" s="31" t="s">
        <v>2214</v>
      </c>
      <c r="J429" t="s">
        <v>2253</v>
      </c>
    </row>
    <row r="430" spans="1:10" x14ac:dyDescent="0.25">
      <c r="A430">
        <v>11622</v>
      </c>
      <c r="B430">
        <f>VLOOKUP(A430,'Suc BD'!A:A,1,FALSE)</f>
        <v>11622</v>
      </c>
      <c r="C430" t="s">
        <v>1982</v>
      </c>
      <c r="D430" t="s">
        <v>10</v>
      </c>
      <c r="E430" t="s">
        <v>395</v>
      </c>
      <c r="F430" t="s">
        <v>745</v>
      </c>
      <c r="G430" t="s">
        <v>2175</v>
      </c>
      <c r="H430" t="s">
        <v>11</v>
      </c>
      <c r="I430" s="31" t="s">
        <v>2214</v>
      </c>
      <c r="J430" t="s">
        <v>2253</v>
      </c>
    </row>
    <row r="431" spans="1:10" x14ac:dyDescent="0.25">
      <c r="A431">
        <v>11563</v>
      </c>
      <c r="B431">
        <f>VLOOKUP(A431,'Suc BD'!A:A,1,FALSE)</f>
        <v>11563</v>
      </c>
      <c r="C431" t="s">
        <v>875</v>
      </c>
      <c r="D431" t="s">
        <v>12</v>
      </c>
      <c r="E431" t="s">
        <v>395</v>
      </c>
      <c r="F431" t="s">
        <v>859</v>
      </c>
      <c r="G431" t="s">
        <v>2186</v>
      </c>
      <c r="H431" t="s">
        <v>13</v>
      </c>
      <c r="I431" s="31" t="s">
        <v>2215</v>
      </c>
      <c r="J431" t="s">
        <v>2253</v>
      </c>
    </row>
    <row r="432" spans="1:10" x14ac:dyDescent="0.25">
      <c r="A432">
        <v>11637</v>
      </c>
      <c r="B432">
        <f>VLOOKUP(A432,'Suc BD'!A:A,1,FALSE)</f>
        <v>11637</v>
      </c>
      <c r="C432" t="s">
        <v>878</v>
      </c>
      <c r="D432" t="s">
        <v>12</v>
      </c>
      <c r="E432" t="s">
        <v>395</v>
      </c>
      <c r="F432" t="s">
        <v>859</v>
      </c>
      <c r="G432" t="s">
        <v>2186</v>
      </c>
      <c r="H432" t="s">
        <v>13</v>
      </c>
      <c r="I432" s="31" t="s">
        <v>2215</v>
      </c>
      <c r="J432" t="s">
        <v>2253</v>
      </c>
    </row>
    <row r="433" spans="1:10" x14ac:dyDescent="0.25">
      <c r="A433">
        <v>11648</v>
      </c>
      <c r="B433">
        <f>VLOOKUP(A433,'Suc BD'!A:A,1,FALSE)</f>
        <v>11648</v>
      </c>
      <c r="C433" t="s">
        <v>882</v>
      </c>
      <c r="D433" t="s">
        <v>12</v>
      </c>
      <c r="E433" t="s">
        <v>395</v>
      </c>
      <c r="F433" t="s">
        <v>859</v>
      </c>
      <c r="G433" t="s">
        <v>2186</v>
      </c>
      <c r="H433" t="s">
        <v>13</v>
      </c>
      <c r="I433" s="31" t="s">
        <v>2215</v>
      </c>
      <c r="J433" t="s">
        <v>2253</v>
      </c>
    </row>
    <row r="434" spans="1:10" x14ac:dyDescent="0.25">
      <c r="A434">
        <v>11309</v>
      </c>
      <c r="B434">
        <f>VLOOKUP(A434,'Suc BD'!A:A,1,FALSE)</f>
        <v>11309</v>
      </c>
      <c r="C434" t="s">
        <v>905</v>
      </c>
      <c r="D434" t="s">
        <v>12</v>
      </c>
      <c r="E434" t="s">
        <v>395</v>
      </c>
      <c r="F434" t="s">
        <v>897</v>
      </c>
      <c r="G434" t="s">
        <v>2187</v>
      </c>
      <c r="H434" t="s">
        <v>13</v>
      </c>
      <c r="I434" s="31" t="s">
        <v>2215</v>
      </c>
      <c r="J434" t="s">
        <v>2253</v>
      </c>
    </row>
    <row r="435" spans="1:10" x14ac:dyDescent="0.25">
      <c r="A435">
        <v>11572</v>
      </c>
      <c r="B435">
        <f>VLOOKUP(A435,'Suc BD'!A:A,1,FALSE)</f>
        <v>11572</v>
      </c>
      <c r="C435" t="s">
        <v>943</v>
      </c>
      <c r="D435" t="s">
        <v>12</v>
      </c>
      <c r="E435" t="s">
        <v>395</v>
      </c>
      <c r="F435" t="s">
        <v>920</v>
      </c>
      <c r="G435" t="s">
        <v>2188</v>
      </c>
      <c r="H435" t="s">
        <v>13</v>
      </c>
      <c r="I435" s="31" t="s">
        <v>2215</v>
      </c>
      <c r="J435" t="s">
        <v>2253</v>
      </c>
    </row>
    <row r="436" spans="1:10" x14ac:dyDescent="0.25">
      <c r="A436">
        <v>11639</v>
      </c>
      <c r="B436">
        <f>VLOOKUP(A436,'Suc BD'!A:A,1,FALSE)</f>
        <v>11639</v>
      </c>
      <c r="C436" t="s">
        <v>1055</v>
      </c>
      <c r="D436" t="s">
        <v>14</v>
      </c>
      <c r="E436" t="s">
        <v>395</v>
      </c>
      <c r="F436" t="s">
        <v>1205</v>
      </c>
      <c r="G436" t="s">
        <v>2194</v>
      </c>
      <c r="H436" t="s">
        <v>15</v>
      </c>
      <c r="I436" s="31" t="s">
        <v>2216</v>
      </c>
      <c r="J436" t="s">
        <v>2253</v>
      </c>
    </row>
    <row r="437" spans="1:10" x14ac:dyDescent="0.25">
      <c r="A437">
        <v>11008</v>
      </c>
      <c r="B437">
        <f>VLOOKUP(A437,'Suc BD'!A:A,1,FALSE)</f>
        <v>11008</v>
      </c>
      <c r="C437" t="s">
        <v>1269</v>
      </c>
      <c r="D437" t="s">
        <v>14</v>
      </c>
      <c r="E437" t="s">
        <v>395</v>
      </c>
      <c r="F437" t="s">
        <v>1271</v>
      </c>
      <c r="G437" t="s">
        <v>2196</v>
      </c>
      <c r="H437" t="s">
        <v>15</v>
      </c>
      <c r="I437" s="31" t="s">
        <v>2216</v>
      </c>
      <c r="J437" t="s">
        <v>2253</v>
      </c>
    </row>
    <row r="438" spans="1:10" x14ac:dyDescent="0.25">
      <c r="A438">
        <v>11568</v>
      </c>
      <c r="B438">
        <f>VLOOKUP(A438,'Suc BD'!A:A,1,FALSE)</f>
        <v>11568</v>
      </c>
      <c r="C438" t="s">
        <v>1350</v>
      </c>
      <c r="D438" t="s">
        <v>14</v>
      </c>
      <c r="E438" t="s">
        <v>395</v>
      </c>
      <c r="F438" t="s">
        <v>1317</v>
      </c>
      <c r="G438" t="s">
        <v>2197</v>
      </c>
      <c r="H438" t="s">
        <v>15</v>
      </c>
      <c r="I438" s="31" t="s">
        <v>2216</v>
      </c>
      <c r="J438" t="s">
        <v>2253</v>
      </c>
    </row>
    <row r="439" spans="1:10" x14ac:dyDescent="0.25">
      <c r="A439">
        <v>11570</v>
      </c>
      <c r="B439">
        <f>VLOOKUP(A439,'Suc BD'!A:A,1,FALSE)</f>
        <v>11570</v>
      </c>
      <c r="C439" t="s">
        <v>1355</v>
      </c>
      <c r="D439" t="s">
        <v>14</v>
      </c>
      <c r="E439" t="s">
        <v>395</v>
      </c>
      <c r="F439" t="s">
        <v>1317</v>
      </c>
      <c r="G439" t="s">
        <v>2197</v>
      </c>
      <c r="H439" t="s">
        <v>15</v>
      </c>
      <c r="I439" s="31" t="s">
        <v>2216</v>
      </c>
      <c r="J439" t="s">
        <v>2253</v>
      </c>
    </row>
    <row r="440" spans="1:10" x14ac:dyDescent="0.25">
      <c r="A440">
        <v>11019</v>
      </c>
      <c r="B440">
        <f>VLOOKUP(A440,'Suc BD'!A:A,1,FALSE)</f>
        <v>11019</v>
      </c>
      <c r="C440" t="s">
        <v>2015</v>
      </c>
      <c r="D440" t="s">
        <v>10</v>
      </c>
      <c r="E440" t="s">
        <v>2414</v>
      </c>
      <c r="F440" t="s">
        <v>675</v>
      </c>
      <c r="G440" t="s">
        <v>2180</v>
      </c>
      <c r="H440" t="s">
        <v>11</v>
      </c>
      <c r="I440" s="31" t="s">
        <v>2214</v>
      </c>
      <c r="J440" t="s">
        <v>2253</v>
      </c>
    </row>
    <row r="441" spans="1:10" x14ac:dyDescent="0.25">
      <c r="A441">
        <v>12325</v>
      </c>
      <c r="B441">
        <f>VLOOKUP(A441,'Suc BD'!A:A,1,FALSE)</f>
        <v>12325</v>
      </c>
      <c r="C441" t="s">
        <v>892</v>
      </c>
      <c r="D441" t="s">
        <v>12</v>
      </c>
      <c r="E441" t="s">
        <v>2065</v>
      </c>
      <c r="F441" t="s">
        <v>859</v>
      </c>
      <c r="G441" t="s">
        <v>2186</v>
      </c>
      <c r="H441" t="s">
        <v>13</v>
      </c>
      <c r="I441" s="31" t="s">
        <v>2215</v>
      </c>
      <c r="J441" t="s">
        <v>2253</v>
      </c>
    </row>
    <row r="442" spans="1:10" x14ac:dyDescent="0.25">
      <c r="A442">
        <v>11582</v>
      </c>
      <c r="B442">
        <f>VLOOKUP(A442,'Suc BD'!A:A,1,FALSE)</f>
        <v>11582</v>
      </c>
      <c r="C442" t="s">
        <v>1683</v>
      </c>
      <c r="D442" t="s">
        <v>16</v>
      </c>
      <c r="E442" t="s">
        <v>1684</v>
      </c>
      <c r="F442" t="s">
        <v>1658</v>
      </c>
      <c r="G442" t="s">
        <v>2205</v>
      </c>
      <c r="H442" t="s">
        <v>17</v>
      </c>
      <c r="I442" s="31" t="s">
        <v>2217</v>
      </c>
      <c r="J442" t="s">
        <v>2253</v>
      </c>
    </row>
    <row r="443" spans="1:10" x14ac:dyDescent="0.25">
      <c r="A443">
        <v>11525</v>
      </c>
      <c r="B443">
        <f>VLOOKUP(A443,'Suc BD'!A:A,1,FALSE)</f>
        <v>11525</v>
      </c>
      <c r="C443" t="s">
        <v>793</v>
      </c>
      <c r="D443" t="s">
        <v>12</v>
      </c>
      <c r="E443" t="s">
        <v>2049</v>
      </c>
      <c r="F443" t="s">
        <v>773</v>
      </c>
      <c r="G443" t="s">
        <v>2183</v>
      </c>
      <c r="H443" t="s">
        <v>13</v>
      </c>
      <c r="I443" s="31" t="s">
        <v>2215</v>
      </c>
      <c r="J443" t="s">
        <v>2253</v>
      </c>
    </row>
    <row r="444" spans="1:10" x14ac:dyDescent="0.25">
      <c r="A444">
        <v>11579</v>
      </c>
      <c r="B444">
        <f>VLOOKUP(A444,'Suc BD'!A:A,1,FALSE)</f>
        <v>11579</v>
      </c>
      <c r="C444" t="s">
        <v>1974</v>
      </c>
      <c r="D444" t="s">
        <v>10</v>
      </c>
      <c r="E444" t="s">
        <v>2364</v>
      </c>
      <c r="F444" t="s">
        <v>489</v>
      </c>
      <c r="G444" t="s">
        <v>2174</v>
      </c>
      <c r="H444" t="s">
        <v>11</v>
      </c>
      <c r="I444" s="31" t="s">
        <v>2214</v>
      </c>
      <c r="J444" t="s">
        <v>2253</v>
      </c>
    </row>
    <row r="445" spans="1:10" x14ac:dyDescent="0.25">
      <c r="A445">
        <v>11098</v>
      </c>
      <c r="B445">
        <f>VLOOKUP(A445,'Suc BD'!A:A,1,FALSE)</f>
        <v>11098</v>
      </c>
      <c r="C445" t="s">
        <v>1984</v>
      </c>
      <c r="D445" t="s">
        <v>10</v>
      </c>
      <c r="E445" t="s">
        <v>2376</v>
      </c>
      <c r="F445" t="s">
        <v>618</v>
      </c>
      <c r="G445" t="s">
        <v>2176</v>
      </c>
      <c r="H445" t="s">
        <v>11</v>
      </c>
      <c r="I445" s="31" t="s">
        <v>2214</v>
      </c>
      <c r="J445" t="s">
        <v>2253</v>
      </c>
    </row>
    <row r="446" spans="1:10" x14ac:dyDescent="0.25">
      <c r="A446">
        <v>11287</v>
      </c>
      <c r="B446">
        <f>VLOOKUP(A446,'Suc BD'!A:A,1,FALSE)</f>
        <v>11287</v>
      </c>
      <c r="C446" t="s">
        <v>1367</v>
      </c>
      <c r="D446" t="s">
        <v>16</v>
      </c>
      <c r="E446" t="s">
        <v>1368</v>
      </c>
      <c r="F446" t="s">
        <v>1362</v>
      </c>
      <c r="G446" t="s">
        <v>2198</v>
      </c>
      <c r="H446" t="s">
        <v>17</v>
      </c>
      <c r="I446" s="31" t="s">
        <v>2217</v>
      </c>
      <c r="J446" t="s">
        <v>2253</v>
      </c>
    </row>
    <row r="447" spans="1:10" x14ac:dyDescent="0.25">
      <c r="A447">
        <v>12309</v>
      </c>
      <c r="B447">
        <f>VLOOKUP(A447,'Suc BD'!A:A,1,FALSE)</f>
        <v>12309</v>
      </c>
      <c r="C447" t="s">
        <v>850</v>
      </c>
      <c r="D447" t="s">
        <v>12</v>
      </c>
      <c r="E447" t="s">
        <v>2058</v>
      </c>
      <c r="F447" t="s">
        <v>820</v>
      </c>
      <c r="G447" t="s">
        <v>2185</v>
      </c>
      <c r="H447" t="s">
        <v>13</v>
      </c>
      <c r="I447" s="31" t="s">
        <v>2215</v>
      </c>
      <c r="J447" t="s">
        <v>2253</v>
      </c>
    </row>
    <row r="448" spans="1:10" x14ac:dyDescent="0.25">
      <c r="A448">
        <v>11124</v>
      </c>
      <c r="B448">
        <f>VLOOKUP(A448,'Suc BD'!A:A,1,FALSE)</f>
        <v>11124</v>
      </c>
      <c r="C448" t="s">
        <v>2003</v>
      </c>
      <c r="D448" t="s">
        <v>10</v>
      </c>
      <c r="E448" t="s">
        <v>2399</v>
      </c>
      <c r="F448" t="s">
        <v>646</v>
      </c>
      <c r="G448" t="s">
        <v>2178</v>
      </c>
      <c r="H448" t="s">
        <v>11</v>
      </c>
      <c r="I448" s="31" t="s">
        <v>2214</v>
      </c>
      <c r="J448" t="s">
        <v>2253</v>
      </c>
    </row>
    <row r="449" spans="1:10" x14ac:dyDescent="0.25">
      <c r="A449">
        <v>11155</v>
      </c>
      <c r="B449">
        <f>VLOOKUP(A449,'Suc BD'!A:A,1,FALSE)</f>
        <v>11155</v>
      </c>
      <c r="C449" t="s">
        <v>246</v>
      </c>
      <c r="D449" t="s">
        <v>8</v>
      </c>
      <c r="E449" t="s">
        <v>2330</v>
      </c>
      <c r="F449" t="s">
        <v>2237</v>
      </c>
      <c r="G449" t="s">
        <v>53</v>
      </c>
      <c r="H449" t="s">
        <v>9</v>
      </c>
      <c r="I449" s="31" t="s">
        <v>2213</v>
      </c>
      <c r="J449" t="s">
        <v>2253</v>
      </c>
    </row>
    <row r="450" spans="1:10" x14ac:dyDescent="0.25">
      <c r="A450">
        <v>11944</v>
      </c>
      <c r="B450">
        <f>VLOOKUP(A450,'Suc BD'!A:A,1,FALSE)</f>
        <v>11944</v>
      </c>
      <c r="C450" t="s">
        <v>1989</v>
      </c>
      <c r="D450" t="s">
        <v>10</v>
      </c>
      <c r="E450" t="s">
        <v>2383</v>
      </c>
      <c r="F450" t="s">
        <v>618</v>
      </c>
      <c r="G450" t="s">
        <v>2176</v>
      </c>
      <c r="H450" t="s">
        <v>11</v>
      </c>
      <c r="I450" s="31" t="s">
        <v>2214</v>
      </c>
      <c r="J450" t="s">
        <v>2253</v>
      </c>
    </row>
    <row r="451" spans="1:10" x14ac:dyDescent="0.25">
      <c r="A451">
        <v>11219</v>
      </c>
      <c r="B451">
        <f>VLOOKUP(A451,'Suc BD'!A:A,1,FALSE)</f>
        <v>11219</v>
      </c>
      <c r="C451" t="s">
        <v>336</v>
      </c>
      <c r="D451" t="s">
        <v>8</v>
      </c>
      <c r="E451" t="s">
        <v>2323</v>
      </c>
      <c r="F451" t="s">
        <v>316</v>
      </c>
      <c r="G451" t="s">
        <v>2170</v>
      </c>
      <c r="H451" t="s">
        <v>9</v>
      </c>
      <c r="I451" s="31" t="s">
        <v>2213</v>
      </c>
      <c r="J451" t="s">
        <v>2253</v>
      </c>
    </row>
    <row r="452" spans="1:10" x14ac:dyDescent="0.25">
      <c r="A452">
        <v>11316</v>
      </c>
      <c r="B452">
        <f>VLOOKUP(A452,'Suc BD'!A:A,1,FALSE)</f>
        <v>11316</v>
      </c>
      <c r="C452" t="s">
        <v>909</v>
      </c>
      <c r="D452" t="s">
        <v>12</v>
      </c>
      <c r="E452" t="s">
        <v>2456</v>
      </c>
      <c r="F452" t="s">
        <v>897</v>
      </c>
      <c r="G452" t="s">
        <v>2187</v>
      </c>
      <c r="H452" t="s">
        <v>13</v>
      </c>
      <c r="I452" s="31" t="s">
        <v>2215</v>
      </c>
      <c r="J452" t="s">
        <v>2253</v>
      </c>
    </row>
    <row r="453" spans="1:10" x14ac:dyDescent="0.25">
      <c r="A453">
        <v>11784</v>
      </c>
      <c r="B453">
        <f>VLOOKUP(A453,'Suc BD'!A:A,1,FALSE)</f>
        <v>11784</v>
      </c>
      <c r="C453" t="s">
        <v>1975</v>
      </c>
      <c r="D453" t="s">
        <v>10</v>
      </c>
      <c r="E453" t="s">
        <v>2365</v>
      </c>
      <c r="F453" t="s">
        <v>489</v>
      </c>
      <c r="G453" t="s">
        <v>2174</v>
      </c>
      <c r="H453" t="s">
        <v>11</v>
      </c>
      <c r="I453" s="31" t="s">
        <v>2214</v>
      </c>
      <c r="J453" t="s">
        <v>2253</v>
      </c>
    </row>
    <row r="454" spans="1:10" x14ac:dyDescent="0.25">
      <c r="A454">
        <v>11482</v>
      </c>
      <c r="B454">
        <f>VLOOKUP(A454,'Suc BD'!A:A,1,FALSE)</f>
        <v>11482</v>
      </c>
      <c r="C454" t="s">
        <v>1777</v>
      </c>
      <c r="D454" t="s">
        <v>18</v>
      </c>
      <c r="E454" t="s">
        <v>1778</v>
      </c>
      <c r="F454" t="s">
        <v>1849</v>
      </c>
      <c r="G454" t="s">
        <v>2208</v>
      </c>
      <c r="H454" t="s">
        <v>395</v>
      </c>
      <c r="I454" s="31" t="s">
        <v>99</v>
      </c>
      <c r="J454" t="s">
        <v>2253</v>
      </c>
    </row>
    <row r="455" spans="1:10" x14ac:dyDescent="0.25">
      <c r="A455">
        <v>11755</v>
      </c>
      <c r="B455">
        <f>VLOOKUP(A455,'Suc BD'!A:A,1,FALSE)</f>
        <v>11755</v>
      </c>
      <c r="C455" t="s">
        <v>77</v>
      </c>
      <c r="D455" t="s">
        <v>8</v>
      </c>
      <c r="E455" t="s">
        <v>2259</v>
      </c>
      <c r="F455" t="s">
        <v>52</v>
      </c>
      <c r="G455" t="s">
        <v>2165</v>
      </c>
      <c r="H455" t="s">
        <v>9</v>
      </c>
      <c r="I455" s="31" t="s">
        <v>2213</v>
      </c>
      <c r="J455" t="s">
        <v>2253</v>
      </c>
    </row>
    <row r="456" spans="1:10" x14ac:dyDescent="0.25">
      <c r="A456">
        <v>11558</v>
      </c>
      <c r="B456">
        <f>VLOOKUP(A456,'Suc BD'!A:A,1,FALSE)</f>
        <v>11558</v>
      </c>
      <c r="C456" t="s">
        <v>1298</v>
      </c>
      <c r="D456" t="s">
        <v>14</v>
      </c>
      <c r="E456" t="s">
        <v>1299</v>
      </c>
      <c r="F456" t="s">
        <v>1271</v>
      </c>
      <c r="G456" t="s">
        <v>2196</v>
      </c>
      <c r="H456" t="s">
        <v>15</v>
      </c>
      <c r="I456" s="31" t="s">
        <v>2216</v>
      </c>
      <c r="J456" t="s">
        <v>2253</v>
      </c>
    </row>
    <row r="457" spans="1:10" x14ac:dyDescent="0.25">
      <c r="A457">
        <v>11567</v>
      </c>
      <c r="B457">
        <f>VLOOKUP(A457,'Suc BD'!A:A,1,FALSE)</f>
        <v>11567</v>
      </c>
      <c r="C457" t="s">
        <v>812</v>
      </c>
      <c r="D457" t="s">
        <v>12</v>
      </c>
      <c r="E457" t="s">
        <v>2104</v>
      </c>
      <c r="F457" t="s">
        <v>802</v>
      </c>
      <c r="G457" t="s">
        <v>2184</v>
      </c>
      <c r="H457" t="s">
        <v>13</v>
      </c>
      <c r="I457" s="31" t="s">
        <v>2215</v>
      </c>
      <c r="J457" t="s">
        <v>2253</v>
      </c>
    </row>
    <row r="458" spans="1:10" x14ac:dyDescent="0.25">
      <c r="A458">
        <v>11621</v>
      </c>
      <c r="B458">
        <f>VLOOKUP(A458,'Suc BD'!A:A,1,FALSE)</f>
        <v>11621</v>
      </c>
      <c r="C458" t="s">
        <v>1554</v>
      </c>
      <c r="D458" t="s">
        <v>16</v>
      </c>
      <c r="E458" t="s">
        <v>1555</v>
      </c>
      <c r="F458" t="s">
        <v>1528</v>
      </c>
      <c r="G458" t="s">
        <v>2202</v>
      </c>
      <c r="H458" t="s">
        <v>17</v>
      </c>
      <c r="I458" s="31" t="s">
        <v>2217</v>
      </c>
      <c r="J458" t="s">
        <v>2253</v>
      </c>
    </row>
    <row r="459" spans="1:10" x14ac:dyDescent="0.25">
      <c r="A459">
        <v>11560</v>
      </c>
      <c r="B459">
        <f>VLOOKUP(A459,'Suc BD'!A:A,1,FALSE)</f>
        <v>11560</v>
      </c>
      <c r="C459" t="s">
        <v>254</v>
      </c>
      <c r="D459" t="s">
        <v>8</v>
      </c>
      <c r="E459" t="s">
        <v>2332</v>
      </c>
      <c r="F459" t="s">
        <v>2237</v>
      </c>
      <c r="G459" t="s">
        <v>53</v>
      </c>
      <c r="H459" t="s">
        <v>9</v>
      </c>
      <c r="I459" s="31" t="s">
        <v>2213</v>
      </c>
      <c r="J459" t="s">
        <v>2253</v>
      </c>
    </row>
    <row r="460" spans="1:10" x14ac:dyDescent="0.25">
      <c r="A460">
        <v>11612</v>
      </c>
      <c r="B460">
        <f>VLOOKUP(A460,'Suc BD'!A:A,1,FALSE)</f>
        <v>11612</v>
      </c>
      <c r="C460" t="s">
        <v>1303</v>
      </c>
      <c r="D460" t="s">
        <v>14</v>
      </c>
      <c r="E460" t="s">
        <v>2115</v>
      </c>
      <c r="F460" t="s">
        <v>1271</v>
      </c>
      <c r="G460" t="s">
        <v>2196</v>
      </c>
      <c r="H460" t="s">
        <v>15</v>
      </c>
      <c r="I460" s="31" t="s">
        <v>2216</v>
      </c>
      <c r="J460" t="s">
        <v>2253</v>
      </c>
    </row>
    <row r="461" spans="1:10" x14ac:dyDescent="0.25">
      <c r="A461">
        <v>11741</v>
      </c>
      <c r="B461">
        <f>VLOOKUP(A461,'Suc BD'!A:A,1,FALSE)</f>
        <v>11741</v>
      </c>
      <c r="C461" t="s">
        <v>59</v>
      </c>
      <c r="D461" t="s">
        <v>8</v>
      </c>
    </row>
    <row r="462" spans="1:10" x14ac:dyDescent="0.25">
      <c r="A462">
        <v>11818</v>
      </c>
      <c r="B462">
        <f>VLOOKUP(A462,'Suc BD'!A:A,1,FALSE)</f>
        <v>11818</v>
      </c>
      <c r="C462" t="s">
        <v>91</v>
      </c>
      <c r="D462" t="s">
        <v>8</v>
      </c>
    </row>
    <row r="463" spans="1:10" x14ac:dyDescent="0.25">
      <c r="A463">
        <v>11191</v>
      </c>
      <c r="B463">
        <f>VLOOKUP(A463,'Suc BD'!A:A,1,FALSE)</f>
        <v>11191</v>
      </c>
      <c r="C463" t="s">
        <v>1490</v>
      </c>
      <c r="D463" t="s">
        <v>16</v>
      </c>
    </row>
  </sheetData>
  <autoFilter ref="A1:J463">
    <sortState ref="A2:J463">
      <sortCondition ref="E1:E463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75"/>
  <sheetViews>
    <sheetView workbookViewId="0">
      <selection sqref="A1:A475"/>
    </sheetView>
  </sheetViews>
  <sheetFormatPr baseColWidth="10" defaultRowHeight="15" x14ac:dyDescent="0.25"/>
  <sheetData>
    <row r="1" spans="1:1" x14ac:dyDescent="0.25">
      <c r="A1">
        <v>11721</v>
      </c>
    </row>
    <row r="2" spans="1:1" x14ac:dyDescent="0.25">
      <c r="A2">
        <v>11741</v>
      </c>
    </row>
    <row r="3" spans="1:1" x14ac:dyDescent="0.25">
      <c r="A3">
        <v>11744</v>
      </c>
    </row>
    <row r="4" spans="1:1" x14ac:dyDescent="0.25">
      <c r="A4">
        <v>11751</v>
      </c>
    </row>
    <row r="5" spans="1:1" x14ac:dyDescent="0.25">
      <c r="A5">
        <v>11752</v>
      </c>
    </row>
    <row r="6" spans="1:1" x14ac:dyDescent="0.25">
      <c r="A6">
        <v>11755</v>
      </c>
    </row>
    <row r="7" spans="1:1" x14ac:dyDescent="0.25">
      <c r="A7">
        <v>11763</v>
      </c>
    </row>
    <row r="8" spans="1:1" x14ac:dyDescent="0.25">
      <c r="A8">
        <v>11776</v>
      </c>
    </row>
    <row r="9" spans="1:1" x14ac:dyDescent="0.25">
      <c r="A9">
        <v>11818</v>
      </c>
    </row>
    <row r="10" spans="1:1" x14ac:dyDescent="0.25">
      <c r="A10">
        <v>11835</v>
      </c>
    </row>
    <row r="11" spans="1:1" x14ac:dyDescent="0.25">
      <c r="A11">
        <v>11849</v>
      </c>
    </row>
    <row r="12" spans="1:1" x14ac:dyDescent="0.25">
      <c r="A12">
        <v>11903</v>
      </c>
    </row>
    <row r="13" spans="1:1" x14ac:dyDescent="0.25">
      <c r="A13">
        <v>11914</v>
      </c>
    </row>
    <row r="14" spans="1:1" x14ac:dyDescent="0.25">
      <c r="A14">
        <v>11075</v>
      </c>
    </row>
    <row r="15" spans="1:1" x14ac:dyDescent="0.25">
      <c r="A15">
        <v>11169</v>
      </c>
    </row>
    <row r="16" spans="1:1" x14ac:dyDescent="0.25">
      <c r="A16">
        <v>11196</v>
      </c>
    </row>
    <row r="17" spans="1:1" x14ac:dyDescent="0.25">
      <c r="A17">
        <v>11215</v>
      </c>
    </row>
    <row r="18" spans="1:1" x14ac:dyDescent="0.25">
      <c r="A18">
        <v>11259</v>
      </c>
    </row>
    <row r="19" spans="1:1" x14ac:dyDescent="0.25">
      <c r="A19">
        <v>11424</v>
      </c>
    </row>
    <row r="20" spans="1:1" x14ac:dyDescent="0.25">
      <c r="A20">
        <v>11442</v>
      </c>
    </row>
    <row r="21" spans="1:1" x14ac:dyDescent="0.25">
      <c r="A21">
        <v>11476</v>
      </c>
    </row>
    <row r="22" spans="1:1" x14ac:dyDescent="0.25">
      <c r="A22">
        <v>11566</v>
      </c>
    </row>
    <row r="23" spans="1:1" x14ac:dyDescent="0.25">
      <c r="A23">
        <v>11631</v>
      </c>
    </row>
    <row r="24" spans="1:1" x14ac:dyDescent="0.25">
      <c r="A24">
        <v>11869</v>
      </c>
    </row>
    <row r="25" spans="1:1" x14ac:dyDescent="0.25">
      <c r="A25">
        <v>11001</v>
      </c>
    </row>
    <row r="26" spans="1:1" x14ac:dyDescent="0.25">
      <c r="A26">
        <v>11003</v>
      </c>
    </row>
    <row r="27" spans="1:1" x14ac:dyDescent="0.25">
      <c r="A27">
        <v>11011</v>
      </c>
    </row>
    <row r="28" spans="1:1" x14ac:dyDescent="0.25">
      <c r="A28">
        <v>11068</v>
      </c>
    </row>
    <row r="29" spans="1:1" x14ac:dyDescent="0.25">
      <c r="A29">
        <v>11071</v>
      </c>
    </row>
    <row r="30" spans="1:1" x14ac:dyDescent="0.25">
      <c r="A30">
        <v>11165</v>
      </c>
    </row>
    <row r="31" spans="1:1" x14ac:dyDescent="0.25">
      <c r="A31">
        <v>11209</v>
      </c>
    </row>
    <row r="32" spans="1:1" x14ac:dyDescent="0.25">
      <c r="A32">
        <v>11475</v>
      </c>
    </row>
    <row r="33" spans="1:1" x14ac:dyDescent="0.25">
      <c r="A33">
        <v>11625</v>
      </c>
    </row>
    <row r="34" spans="1:1" x14ac:dyDescent="0.25">
      <c r="A34">
        <v>11949</v>
      </c>
    </row>
    <row r="35" spans="1:1" x14ac:dyDescent="0.25">
      <c r="A35">
        <v>11132</v>
      </c>
    </row>
    <row r="36" spans="1:1" x14ac:dyDescent="0.25">
      <c r="A36">
        <v>11141</v>
      </c>
    </row>
    <row r="37" spans="1:1" x14ac:dyDescent="0.25">
      <c r="A37">
        <v>11159</v>
      </c>
    </row>
    <row r="38" spans="1:1" x14ac:dyDescent="0.25">
      <c r="A38">
        <v>11200</v>
      </c>
    </row>
    <row r="39" spans="1:1" x14ac:dyDescent="0.25">
      <c r="A39">
        <v>11207</v>
      </c>
    </row>
    <row r="40" spans="1:1" x14ac:dyDescent="0.25">
      <c r="A40">
        <v>11211</v>
      </c>
    </row>
    <row r="41" spans="1:1" x14ac:dyDescent="0.25">
      <c r="A41">
        <v>11250</v>
      </c>
    </row>
    <row r="42" spans="1:1" x14ac:dyDescent="0.25">
      <c r="A42">
        <v>11289</v>
      </c>
    </row>
    <row r="43" spans="1:1" x14ac:dyDescent="0.25">
      <c r="A43">
        <v>11480</v>
      </c>
    </row>
    <row r="44" spans="1:1" x14ac:dyDescent="0.25">
      <c r="A44">
        <v>11554</v>
      </c>
    </row>
    <row r="45" spans="1:1" x14ac:dyDescent="0.25">
      <c r="A45">
        <v>12349</v>
      </c>
    </row>
    <row r="46" spans="1:1" x14ac:dyDescent="0.25">
      <c r="A46">
        <v>11120</v>
      </c>
    </row>
    <row r="47" spans="1:1" x14ac:dyDescent="0.25">
      <c r="A47">
        <v>11155</v>
      </c>
    </row>
    <row r="48" spans="1:1" x14ac:dyDescent="0.25">
      <c r="A48">
        <v>11440</v>
      </c>
    </row>
    <row r="49" spans="1:1" x14ac:dyDescent="0.25">
      <c r="A49">
        <v>11560</v>
      </c>
    </row>
    <row r="50" spans="1:1" x14ac:dyDescent="0.25">
      <c r="A50">
        <v>11881</v>
      </c>
    </row>
    <row r="51" spans="1:1" x14ac:dyDescent="0.25">
      <c r="A51">
        <v>11928</v>
      </c>
    </row>
    <row r="52" spans="1:1" x14ac:dyDescent="0.25">
      <c r="A52">
        <v>11940</v>
      </c>
    </row>
    <row r="53" spans="1:1" x14ac:dyDescent="0.25">
      <c r="A53">
        <v>12311</v>
      </c>
    </row>
    <row r="54" spans="1:1" x14ac:dyDescent="0.25">
      <c r="A54">
        <v>11017</v>
      </c>
    </row>
    <row r="55" spans="1:1" x14ac:dyDescent="0.25">
      <c r="A55">
        <v>11018</v>
      </c>
    </row>
    <row r="56" spans="1:1" x14ac:dyDescent="0.25">
      <c r="A56">
        <v>11024</v>
      </c>
    </row>
    <row r="57" spans="1:1" x14ac:dyDescent="0.25">
      <c r="A57">
        <v>11057</v>
      </c>
    </row>
    <row r="58" spans="1:1" x14ac:dyDescent="0.25">
      <c r="A58">
        <v>11153</v>
      </c>
    </row>
    <row r="59" spans="1:1" x14ac:dyDescent="0.25">
      <c r="A59">
        <v>11206</v>
      </c>
    </row>
    <row r="60" spans="1:1" x14ac:dyDescent="0.25">
      <c r="A60">
        <v>11564</v>
      </c>
    </row>
    <row r="61" spans="1:1" x14ac:dyDescent="0.25">
      <c r="A61">
        <v>11626</v>
      </c>
    </row>
    <row r="62" spans="1:1" x14ac:dyDescent="0.25">
      <c r="A62">
        <v>12303</v>
      </c>
    </row>
    <row r="63" spans="1:1" x14ac:dyDescent="0.25">
      <c r="A63">
        <v>12340</v>
      </c>
    </row>
    <row r="64" spans="1:1" x14ac:dyDescent="0.25">
      <c r="A64">
        <v>12347</v>
      </c>
    </row>
    <row r="65" spans="1:1" x14ac:dyDescent="0.25">
      <c r="A65">
        <v>11055</v>
      </c>
    </row>
    <row r="66" spans="1:1" x14ac:dyDescent="0.25">
      <c r="A66">
        <v>11058</v>
      </c>
    </row>
    <row r="67" spans="1:1" x14ac:dyDescent="0.25">
      <c r="A67">
        <v>11089</v>
      </c>
    </row>
    <row r="68" spans="1:1" x14ac:dyDescent="0.25">
      <c r="A68">
        <v>11096</v>
      </c>
    </row>
    <row r="69" spans="1:1" x14ac:dyDescent="0.25">
      <c r="A69">
        <v>11210</v>
      </c>
    </row>
    <row r="70" spans="1:1" x14ac:dyDescent="0.25">
      <c r="A70">
        <v>11219</v>
      </c>
    </row>
    <row r="71" spans="1:1" x14ac:dyDescent="0.25">
      <c r="A71">
        <v>11290</v>
      </c>
    </row>
    <row r="72" spans="1:1" x14ac:dyDescent="0.25">
      <c r="A72">
        <v>11580</v>
      </c>
    </row>
    <row r="73" spans="1:1" x14ac:dyDescent="0.25">
      <c r="A73">
        <v>11892</v>
      </c>
    </row>
    <row r="74" spans="1:1" x14ac:dyDescent="0.25">
      <c r="A74">
        <v>12308</v>
      </c>
    </row>
    <row r="75" spans="1:1" x14ac:dyDescent="0.25">
      <c r="A75">
        <v>12341</v>
      </c>
    </row>
    <row r="76" spans="1:1" x14ac:dyDescent="0.25">
      <c r="A76">
        <v>11012</v>
      </c>
    </row>
    <row r="77" spans="1:1" x14ac:dyDescent="0.25">
      <c r="A77">
        <v>11106</v>
      </c>
    </row>
    <row r="78" spans="1:1" x14ac:dyDescent="0.25">
      <c r="A78">
        <v>11143</v>
      </c>
    </row>
    <row r="79" spans="1:1" x14ac:dyDescent="0.25">
      <c r="A79">
        <v>11173</v>
      </c>
    </row>
    <row r="80" spans="1:1" x14ac:dyDescent="0.25">
      <c r="A80">
        <v>11243</v>
      </c>
    </row>
    <row r="81" spans="1:1" x14ac:dyDescent="0.25">
      <c r="A81">
        <v>11345</v>
      </c>
    </row>
    <row r="82" spans="1:1" x14ac:dyDescent="0.25">
      <c r="A82">
        <v>11844</v>
      </c>
    </row>
    <row r="83" spans="1:1" x14ac:dyDescent="0.25">
      <c r="A83">
        <v>11871</v>
      </c>
    </row>
    <row r="84" spans="1:1" x14ac:dyDescent="0.25">
      <c r="A84">
        <v>11891</v>
      </c>
    </row>
    <row r="85" spans="1:1" x14ac:dyDescent="0.25">
      <c r="A85">
        <v>11939</v>
      </c>
    </row>
    <row r="86" spans="1:1" x14ac:dyDescent="0.25">
      <c r="A86">
        <v>12321</v>
      </c>
    </row>
    <row r="87" spans="1:1" x14ac:dyDescent="0.25">
      <c r="A87">
        <v>11154</v>
      </c>
    </row>
    <row r="88" spans="1:1" x14ac:dyDescent="0.25">
      <c r="A88">
        <v>11164</v>
      </c>
    </row>
    <row r="89" spans="1:1" x14ac:dyDescent="0.25">
      <c r="A89">
        <v>11193</v>
      </c>
    </row>
    <row r="90" spans="1:1" x14ac:dyDescent="0.25">
      <c r="A90">
        <v>11242</v>
      </c>
    </row>
    <row r="91" spans="1:1" x14ac:dyDescent="0.25">
      <c r="A91">
        <v>11306</v>
      </c>
    </row>
    <row r="92" spans="1:1" x14ac:dyDescent="0.25">
      <c r="A92">
        <v>11477</v>
      </c>
    </row>
    <row r="93" spans="1:1" x14ac:dyDescent="0.25">
      <c r="A93">
        <v>11548</v>
      </c>
    </row>
    <row r="94" spans="1:1" x14ac:dyDescent="0.25">
      <c r="A94">
        <v>12342</v>
      </c>
    </row>
    <row r="95" spans="1:1" x14ac:dyDescent="0.25">
      <c r="A95">
        <v>11087</v>
      </c>
    </row>
    <row r="96" spans="1:1" x14ac:dyDescent="0.25">
      <c r="A96">
        <v>11168</v>
      </c>
    </row>
    <row r="97" spans="1:1" x14ac:dyDescent="0.25">
      <c r="A97">
        <v>11184</v>
      </c>
    </row>
    <row r="98" spans="1:1" x14ac:dyDescent="0.25">
      <c r="A98">
        <v>11190</v>
      </c>
    </row>
    <row r="99" spans="1:1" x14ac:dyDescent="0.25">
      <c r="A99">
        <v>11239</v>
      </c>
    </row>
    <row r="100" spans="1:1" x14ac:dyDescent="0.25">
      <c r="A100">
        <v>11257</v>
      </c>
    </row>
    <row r="101" spans="1:1" x14ac:dyDescent="0.25">
      <c r="A101">
        <v>11314</v>
      </c>
    </row>
    <row r="102" spans="1:1" x14ac:dyDescent="0.25">
      <c r="A102">
        <v>11449</v>
      </c>
    </row>
    <row r="103" spans="1:1" x14ac:dyDescent="0.25">
      <c r="A103">
        <v>11461</v>
      </c>
    </row>
    <row r="104" spans="1:1" x14ac:dyDescent="0.25">
      <c r="A104">
        <v>11555</v>
      </c>
    </row>
    <row r="105" spans="1:1" x14ac:dyDescent="0.25">
      <c r="A105">
        <v>11778</v>
      </c>
    </row>
    <row r="106" spans="1:1" x14ac:dyDescent="0.25">
      <c r="A106">
        <v>12344</v>
      </c>
    </row>
    <row r="107" spans="1:1" x14ac:dyDescent="0.25">
      <c r="A107">
        <v>11005</v>
      </c>
    </row>
    <row r="108" spans="1:1" x14ac:dyDescent="0.25">
      <c r="A108">
        <v>11044</v>
      </c>
    </row>
    <row r="109" spans="1:1" x14ac:dyDescent="0.25">
      <c r="A109">
        <v>11086</v>
      </c>
    </row>
    <row r="110" spans="1:1" x14ac:dyDescent="0.25">
      <c r="A110">
        <v>11149</v>
      </c>
    </row>
    <row r="111" spans="1:1" x14ac:dyDescent="0.25">
      <c r="A111">
        <v>11161</v>
      </c>
    </row>
    <row r="112" spans="1:1" x14ac:dyDescent="0.25">
      <c r="A112">
        <v>11272</v>
      </c>
    </row>
    <row r="113" spans="1:1" x14ac:dyDescent="0.25">
      <c r="A113">
        <v>11286</v>
      </c>
    </row>
    <row r="114" spans="1:1" x14ac:dyDescent="0.25">
      <c r="A114">
        <v>11506</v>
      </c>
    </row>
    <row r="115" spans="1:1" x14ac:dyDescent="0.25">
      <c r="A115">
        <v>11579</v>
      </c>
    </row>
    <row r="116" spans="1:1" x14ac:dyDescent="0.25">
      <c r="A116">
        <v>11784</v>
      </c>
    </row>
    <row r="117" spans="1:1" x14ac:dyDescent="0.25">
      <c r="A117">
        <v>12318</v>
      </c>
    </row>
    <row r="118" spans="1:1" x14ac:dyDescent="0.25">
      <c r="A118">
        <v>12354</v>
      </c>
    </row>
    <row r="119" spans="1:1" x14ac:dyDescent="0.25">
      <c r="A119">
        <v>11021</v>
      </c>
    </row>
    <row r="120" spans="1:1" x14ac:dyDescent="0.25">
      <c r="A120">
        <v>11029</v>
      </c>
    </row>
    <row r="121" spans="1:1" x14ac:dyDescent="0.25">
      <c r="A121">
        <v>11172</v>
      </c>
    </row>
    <row r="122" spans="1:1" x14ac:dyDescent="0.25">
      <c r="A122">
        <v>11335</v>
      </c>
    </row>
    <row r="123" spans="1:1" x14ac:dyDescent="0.25">
      <c r="A123">
        <v>11447</v>
      </c>
    </row>
    <row r="124" spans="1:1" x14ac:dyDescent="0.25">
      <c r="A124">
        <v>11530</v>
      </c>
    </row>
    <row r="125" spans="1:1" x14ac:dyDescent="0.25">
      <c r="A125">
        <v>11565</v>
      </c>
    </row>
    <row r="126" spans="1:1" x14ac:dyDescent="0.25">
      <c r="A126">
        <v>11622</v>
      </c>
    </row>
    <row r="127" spans="1:1" x14ac:dyDescent="0.25">
      <c r="A127">
        <v>12365</v>
      </c>
    </row>
    <row r="128" spans="1:1" x14ac:dyDescent="0.25">
      <c r="A128">
        <v>12365</v>
      </c>
    </row>
    <row r="129" spans="1:1" x14ac:dyDescent="0.25">
      <c r="A129">
        <v>11062</v>
      </c>
    </row>
    <row r="130" spans="1:1" x14ac:dyDescent="0.25">
      <c r="A130">
        <v>11098</v>
      </c>
    </row>
    <row r="131" spans="1:1" x14ac:dyDescent="0.25">
      <c r="A131">
        <v>11140</v>
      </c>
    </row>
    <row r="132" spans="1:1" x14ac:dyDescent="0.25">
      <c r="A132">
        <v>11174</v>
      </c>
    </row>
    <row r="133" spans="1:1" x14ac:dyDescent="0.25">
      <c r="A133">
        <v>11199</v>
      </c>
    </row>
    <row r="134" spans="1:1" x14ac:dyDescent="0.25">
      <c r="A134">
        <v>11583</v>
      </c>
    </row>
    <row r="135" spans="1:1" x14ac:dyDescent="0.25">
      <c r="A135">
        <v>11743</v>
      </c>
    </row>
    <row r="136" spans="1:1" x14ac:dyDescent="0.25">
      <c r="A136">
        <v>11828</v>
      </c>
    </row>
    <row r="137" spans="1:1" x14ac:dyDescent="0.25">
      <c r="A137">
        <v>11944</v>
      </c>
    </row>
    <row r="138" spans="1:1" x14ac:dyDescent="0.25">
      <c r="A138">
        <v>12300</v>
      </c>
    </row>
    <row r="139" spans="1:1" x14ac:dyDescent="0.25">
      <c r="A139">
        <v>11013</v>
      </c>
    </row>
    <row r="140" spans="1:1" x14ac:dyDescent="0.25">
      <c r="A140">
        <v>11026</v>
      </c>
    </row>
    <row r="141" spans="1:1" x14ac:dyDescent="0.25">
      <c r="A141">
        <v>11036</v>
      </c>
    </row>
    <row r="142" spans="1:1" x14ac:dyDescent="0.25">
      <c r="A142">
        <v>11197</v>
      </c>
    </row>
    <row r="143" spans="1:1" x14ac:dyDescent="0.25">
      <c r="A143">
        <v>11339</v>
      </c>
    </row>
    <row r="144" spans="1:1" x14ac:dyDescent="0.25">
      <c r="A144">
        <v>11578</v>
      </c>
    </row>
    <row r="145" spans="1:1" x14ac:dyDescent="0.25">
      <c r="A145">
        <v>11634</v>
      </c>
    </row>
    <row r="146" spans="1:1" x14ac:dyDescent="0.25">
      <c r="A146">
        <v>11913</v>
      </c>
    </row>
    <row r="147" spans="1:1" x14ac:dyDescent="0.25">
      <c r="A147">
        <v>11977</v>
      </c>
    </row>
    <row r="148" spans="1:1" x14ac:dyDescent="0.25">
      <c r="A148">
        <v>12319</v>
      </c>
    </row>
    <row r="149" spans="1:1" x14ac:dyDescent="0.25">
      <c r="A149">
        <v>11004</v>
      </c>
    </row>
    <row r="150" spans="1:1" x14ac:dyDescent="0.25">
      <c r="A150">
        <v>11022</v>
      </c>
    </row>
    <row r="151" spans="1:1" x14ac:dyDescent="0.25">
      <c r="A151">
        <v>11066</v>
      </c>
    </row>
    <row r="152" spans="1:1" x14ac:dyDescent="0.25">
      <c r="A152">
        <v>11124</v>
      </c>
    </row>
    <row r="153" spans="1:1" x14ac:dyDescent="0.25">
      <c r="A153">
        <v>11126</v>
      </c>
    </row>
    <row r="154" spans="1:1" x14ac:dyDescent="0.25">
      <c r="A154">
        <v>11233</v>
      </c>
    </row>
    <row r="155" spans="1:1" x14ac:dyDescent="0.25">
      <c r="A155">
        <v>11255</v>
      </c>
    </row>
    <row r="156" spans="1:1" x14ac:dyDescent="0.25">
      <c r="A156">
        <v>11264</v>
      </c>
    </row>
    <row r="157" spans="1:1" x14ac:dyDescent="0.25">
      <c r="A157">
        <v>12320</v>
      </c>
    </row>
    <row r="158" spans="1:1" x14ac:dyDescent="0.25">
      <c r="A158">
        <v>11009</v>
      </c>
    </row>
    <row r="159" spans="1:1" x14ac:dyDescent="0.25">
      <c r="A159">
        <v>11056</v>
      </c>
    </row>
    <row r="160" spans="1:1" x14ac:dyDescent="0.25">
      <c r="A160">
        <v>11100</v>
      </c>
    </row>
    <row r="161" spans="1:1" x14ac:dyDescent="0.25">
      <c r="A161">
        <v>11121</v>
      </c>
    </row>
    <row r="162" spans="1:1" x14ac:dyDescent="0.25">
      <c r="A162">
        <v>11148</v>
      </c>
    </row>
    <row r="163" spans="1:1" x14ac:dyDescent="0.25">
      <c r="A163">
        <v>11258</v>
      </c>
    </row>
    <row r="164" spans="1:1" x14ac:dyDescent="0.25">
      <c r="A164">
        <v>11452</v>
      </c>
    </row>
    <row r="165" spans="1:1" x14ac:dyDescent="0.25">
      <c r="A165">
        <v>11470</v>
      </c>
    </row>
    <row r="166" spans="1:1" x14ac:dyDescent="0.25">
      <c r="A166">
        <v>12402</v>
      </c>
    </row>
    <row r="167" spans="1:1" x14ac:dyDescent="0.25">
      <c r="A167">
        <v>11019</v>
      </c>
    </row>
    <row r="168" spans="1:1" x14ac:dyDescent="0.25">
      <c r="A168">
        <v>11061</v>
      </c>
    </row>
    <row r="169" spans="1:1" x14ac:dyDescent="0.25">
      <c r="A169">
        <v>11198</v>
      </c>
    </row>
    <row r="170" spans="1:1" x14ac:dyDescent="0.25">
      <c r="A170">
        <v>11208</v>
      </c>
    </row>
    <row r="171" spans="1:1" x14ac:dyDescent="0.25">
      <c r="A171">
        <v>11307</v>
      </c>
    </row>
    <row r="172" spans="1:1" x14ac:dyDescent="0.25">
      <c r="A172">
        <v>11334</v>
      </c>
    </row>
    <row r="173" spans="1:1" x14ac:dyDescent="0.25">
      <c r="A173">
        <v>11342</v>
      </c>
    </row>
    <row r="174" spans="1:1" x14ac:dyDescent="0.25">
      <c r="A174">
        <v>11382</v>
      </c>
    </row>
    <row r="175" spans="1:1" x14ac:dyDescent="0.25">
      <c r="A175">
        <v>11574</v>
      </c>
    </row>
    <row r="176" spans="1:1" x14ac:dyDescent="0.25">
      <c r="A176">
        <v>11630</v>
      </c>
    </row>
    <row r="177" spans="1:1" x14ac:dyDescent="0.25">
      <c r="A177">
        <v>11865</v>
      </c>
    </row>
    <row r="178" spans="1:1" x14ac:dyDescent="0.25">
      <c r="A178">
        <v>12350</v>
      </c>
    </row>
    <row r="179" spans="1:1" x14ac:dyDescent="0.25">
      <c r="A179">
        <v>11110</v>
      </c>
    </row>
    <row r="180" spans="1:1" x14ac:dyDescent="0.25">
      <c r="A180">
        <v>11223</v>
      </c>
    </row>
    <row r="181" spans="1:1" x14ac:dyDescent="0.25">
      <c r="A181">
        <v>11251</v>
      </c>
    </row>
    <row r="182" spans="1:1" x14ac:dyDescent="0.25">
      <c r="A182">
        <v>11320</v>
      </c>
    </row>
    <row r="183" spans="1:1" x14ac:dyDescent="0.25">
      <c r="A183">
        <v>11419</v>
      </c>
    </row>
    <row r="184" spans="1:1" x14ac:dyDescent="0.25">
      <c r="A184">
        <v>11420</v>
      </c>
    </row>
    <row r="185" spans="1:1" x14ac:dyDescent="0.25">
      <c r="A185">
        <v>11463</v>
      </c>
    </row>
    <row r="186" spans="1:1" x14ac:dyDescent="0.25">
      <c r="A186">
        <v>11601</v>
      </c>
    </row>
    <row r="187" spans="1:1" x14ac:dyDescent="0.25">
      <c r="A187">
        <v>11955</v>
      </c>
    </row>
    <row r="188" spans="1:1" x14ac:dyDescent="0.25">
      <c r="A188">
        <v>11023</v>
      </c>
    </row>
    <row r="189" spans="1:1" x14ac:dyDescent="0.25">
      <c r="A189">
        <v>11037</v>
      </c>
    </row>
    <row r="190" spans="1:1" x14ac:dyDescent="0.25">
      <c r="A190">
        <v>11099</v>
      </c>
    </row>
    <row r="191" spans="1:1" x14ac:dyDescent="0.25">
      <c r="A191">
        <v>11150</v>
      </c>
    </row>
    <row r="192" spans="1:1" x14ac:dyDescent="0.25">
      <c r="A192">
        <v>11225</v>
      </c>
    </row>
    <row r="193" spans="1:1" x14ac:dyDescent="0.25">
      <c r="A193">
        <v>11529</v>
      </c>
    </row>
    <row r="194" spans="1:1" x14ac:dyDescent="0.25">
      <c r="A194">
        <v>11617</v>
      </c>
    </row>
    <row r="195" spans="1:1" x14ac:dyDescent="0.25">
      <c r="A195">
        <v>12343</v>
      </c>
    </row>
    <row r="196" spans="1:1" x14ac:dyDescent="0.25">
      <c r="A196">
        <v>12362</v>
      </c>
    </row>
    <row r="197" spans="1:1" x14ac:dyDescent="0.25">
      <c r="A197">
        <v>11229</v>
      </c>
    </row>
    <row r="198" spans="1:1" x14ac:dyDescent="0.25">
      <c r="A198">
        <v>11260</v>
      </c>
    </row>
    <row r="199" spans="1:1" x14ac:dyDescent="0.25">
      <c r="A199">
        <v>11281</v>
      </c>
    </row>
    <row r="200" spans="1:1" x14ac:dyDescent="0.25">
      <c r="A200">
        <v>11421</v>
      </c>
    </row>
    <row r="201" spans="1:1" x14ac:dyDescent="0.25">
      <c r="A201">
        <v>11525</v>
      </c>
    </row>
    <row r="202" spans="1:1" x14ac:dyDescent="0.25">
      <c r="A202">
        <v>11904</v>
      </c>
    </row>
    <row r="203" spans="1:1" x14ac:dyDescent="0.25">
      <c r="A203">
        <v>11034</v>
      </c>
    </row>
    <row r="204" spans="1:1" x14ac:dyDescent="0.25">
      <c r="A204">
        <v>11041</v>
      </c>
    </row>
    <row r="205" spans="1:1" x14ac:dyDescent="0.25">
      <c r="A205">
        <v>11123</v>
      </c>
    </row>
    <row r="206" spans="1:1" x14ac:dyDescent="0.25">
      <c r="A206">
        <v>11157</v>
      </c>
    </row>
    <row r="207" spans="1:1" x14ac:dyDescent="0.25">
      <c r="A207">
        <v>11185</v>
      </c>
    </row>
    <row r="208" spans="1:1" x14ac:dyDescent="0.25">
      <c r="A208">
        <v>11186</v>
      </c>
    </row>
    <row r="209" spans="1:1" x14ac:dyDescent="0.25">
      <c r="A209">
        <v>11236</v>
      </c>
    </row>
    <row r="210" spans="1:1" x14ac:dyDescent="0.25">
      <c r="A210">
        <v>11310</v>
      </c>
    </row>
    <row r="211" spans="1:1" x14ac:dyDescent="0.25">
      <c r="A211">
        <v>11355</v>
      </c>
    </row>
    <row r="212" spans="1:1" x14ac:dyDescent="0.25">
      <c r="A212">
        <v>11366</v>
      </c>
    </row>
    <row r="213" spans="1:1" x14ac:dyDescent="0.25">
      <c r="A213">
        <v>11380</v>
      </c>
    </row>
    <row r="214" spans="1:1" x14ac:dyDescent="0.25">
      <c r="A214">
        <v>11151</v>
      </c>
    </row>
    <row r="215" spans="1:1" x14ac:dyDescent="0.25">
      <c r="A215">
        <v>11201</v>
      </c>
    </row>
    <row r="216" spans="1:1" x14ac:dyDescent="0.25">
      <c r="A216">
        <v>11567</v>
      </c>
    </row>
    <row r="217" spans="1:1" x14ac:dyDescent="0.25">
      <c r="A217">
        <v>11888</v>
      </c>
    </row>
    <row r="218" spans="1:1" x14ac:dyDescent="0.25">
      <c r="A218">
        <v>11074</v>
      </c>
    </row>
    <row r="219" spans="1:1" x14ac:dyDescent="0.25">
      <c r="A219">
        <v>11231</v>
      </c>
    </row>
    <row r="220" spans="1:1" x14ac:dyDescent="0.25">
      <c r="A220">
        <v>11284</v>
      </c>
    </row>
    <row r="221" spans="1:1" x14ac:dyDescent="0.25">
      <c r="A221">
        <v>11341</v>
      </c>
    </row>
    <row r="222" spans="1:1" x14ac:dyDescent="0.25">
      <c r="A222">
        <v>11422</v>
      </c>
    </row>
    <row r="223" spans="1:1" x14ac:dyDescent="0.25">
      <c r="A223">
        <v>11423</v>
      </c>
    </row>
    <row r="224" spans="1:1" x14ac:dyDescent="0.25">
      <c r="A224">
        <v>11606</v>
      </c>
    </row>
    <row r="225" spans="1:1" x14ac:dyDescent="0.25">
      <c r="A225">
        <v>12309</v>
      </c>
    </row>
    <row r="226" spans="1:1" x14ac:dyDescent="0.25">
      <c r="A226">
        <v>12324</v>
      </c>
    </row>
    <row r="227" spans="1:1" x14ac:dyDescent="0.25">
      <c r="A227">
        <v>11047</v>
      </c>
    </row>
    <row r="228" spans="1:1" x14ac:dyDescent="0.25">
      <c r="A228">
        <v>11213</v>
      </c>
    </row>
    <row r="229" spans="1:1" x14ac:dyDescent="0.25">
      <c r="A229">
        <v>11343</v>
      </c>
    </row>
    <row r="230" spans="1:1" x14ac:dyDescent="0.25">
      <c r="A230">
        <v>11429</v>
      </c>
    </row>
    <row r="231" spans="1:1" x14ac:dyDescent="0.25">
      <c r="A231">
        <v>11563</v>
      </c>
    </row>
    <row r="232" spans="1:1" x14ac:dyDescent="0.25">
      <c r="A232">
        <v>11637</v>
      </c>
    </row>
    <row r="233" spans="1:1" x14ac:dyDescent="0.25">
      <c r="A233">
        <v>11648</v>
      </c>
    </row>
    <row r="234" spans="1:1" x14ac:dyDescent="0.25">
      <c r="A234">
        <v>11834</v>
      </c>
    </row>
    <row r="235" spans="1:1" x14ac:dyDescent="0.25">
      <c r="A235">
        <v>11852</v>
      </c>
    </row>
    <row r="236" spans="1:1" x14ac:dyDescent="0.25">
      <c r="A236">
        <v>12325</v>
      </c>
    </row>
    <row r="237" spans="1:1" x14ac:dyDescent="0.25">
      <c r="A237">
        <v>11170</v>
      </c>
    </row>
    <row r="238" spans="1:1" x14ac:dyDescent="0.25">
      <c r="A238">
        <v>11283</v>
      </c>
    </row>
    <row r="239" spans="1:1" x14ac:dyDescent="0.25">
      <c r="A239">
        <v>11309</v>
      </c>
    </row>
    <row r="240" spans="1:1" x14ac:dyDescent="0.25">
      <c r="A240">
        <v>11316</v>
      </c>
    </row>
    <row r="241" spans="1:1" x14ac:dyDescent="0.25">
      <c r="A241">
        <v>11500</v>
      </c>
    </row>
    <row r="242" spans="1:1" x14ac:dyDescent="0.25">
      <c r="A242">
        <v>11616</v>
      </c>
    </row>
    <row r="243" spans="1:1" x14ac:dyDescent="0.25">
      <c r="A243">
        <v>12335</v>
      </c>
    </row>
    <row r="244" spans="1:1" x14ac:dyDescent="0.25">
      <c r="A244">
        <v>11007</v>
      </c>
    </row>
    <row r="245" spans="1:1" x14ac:dyDescent="0.25">
      <c r="A245">
        <v>11131</v>
      </c>
    </row>
    <row r="246" spans="1:1" x14ac:dyDescent="0.25">
      <c r="A246">
        <v>11271</v>
      </c>
    </row>
    <row r="247" spans="1:1" x14ac:dyDescent="0.25">
      <c r="A247">
        <v>11313</v>
      </c>
    </row>
    <row r="248" spans="1:1" x14ac:dyDescent="0.25">
      <c r="A248">
        <v>11458</v>
      </c>
    </row>
    <row r="249" spans="1:1" x14ac:dyDescent="0.25">
      <c r="A249">
        <v>11526</v>
      </c>
    </row>
    <row r="250" spans="1:1" x14ac:dyDescent="0.25">
      <c r="A250">
        <v>11541</v>
      </c>
    </row>
    <row r="251" spans="1:1" x14ac:dyDescent="0.25">
      <c r="A251">
        <v>11572</v>
      </c>
    </row>
    <row r="252" spans="1:1" x14ac:dyDescent="0.25">
      <c r="A252">
        <v>11238</v>
      </c>
    </row>
    <row r="253" spans="1:1" x14ac:dyDescent="0.25">
      <c r="A253">
        <v>11253</v>
      </c>
    </row>
    <row r="254" spans="1:1" x14ac:dyDescent="0.25">
      <c r="A254">
        <v>11319</v>
      </c>
    </row>
    <row r="255" spans="1:1" x14ac:dyDescent="0.25">
      <c r="A255">
        <v>11389</v>
      </c>
    </row>
    <row r="256" spans="1:1" x14ac:dyDescent="0.25">
      <c r="A256">
        <v>11394</v>
      </c>
    </row>
    <row r="257" spans="1:1" x14ac:dyDescent="0.25">
      <c r="A257">
        <v>11402</v>
      </c>
    </row>
    <row r="258" spans="1:1" x14ac:dyDescent="0.25">
      <c r="A258">
        <v>11481</v>
      </c>
    </row>
    <row r="259" spans="1:1" x14ac:dyDescent="0.25">
      <c r="A259">
        <v>11522</v>
      </c>
    </row>
    <row r="260" spans="1:1" x14ac:dyDescent="0.25">
      <c r="A260">
        <v>11577</v>
      </c>
    </row>
    <row r="261" spans="1:1" x14ac:dyDescent="0.25">
      <c r="A261">
        <v>11959</v>
      </c>
    </row>
    <row r="262" spans="1:1" x14ac:dyDescent="0.25">
      <c r="A262">
        <v>11218</v>
      </c>
    </row>
    <row r="263" spans="1:1" x14ac:dyDescent="0.25">
      <c r="A263">
        <v>11249</v>
      </c>
    </row>
    <row r="264" spans="1:1" x14ac:dyDescent="0.25">
      <c r="A264">
        <v>11297</v>
      </c>
    </row>
    <row r="265" spans="1:1" x14ac:dyDescent="0.25">
      <c r="A265">
        <v>11329</v>
      </c>
    </row>
    <row r="266" spans="1:1" x14ac:dyDescent="0.25">
      <c r="A266">
        <v>11396</v>
      </c>
    </row>
    <row r="267" spans="1:1" x14ac:dyDescent="0.25">
      <c r="A267">
        <v>11537</v>
      </c>
    </row>
    <row r="268" spans="1:1" x14ac:dyDescent="0.25">
      <c r="A268">
        <v>11605</v>
      </c>
    </row>
    <row r="269" spans="1:1" x14ac:dyDescent="0.25">
      <c r="A269">
        <v>12331</v>
      </c>
    </row>
    <row r="270" spans="1:1" x14ac:dyDescent="0.25">
      <c r="A270">
        <v>12332</v>
      </c>
    </row>
    <row r="271" spans="1:1" x14ac:dyDescent="0.25">
      <c r="A271">
        <v>12337</v>
      </c>
    </row>
    <row r="272" spans="1:1" x14ac:dyDescent="0.25">
      <c r="A272">
        <v>11045</v>
      </c>
    </row>
    <row r="273" spans="1:1" x14ac:dyDescent="0.25">
      <c r="A273">
        <v>11105</v>
      </c>
    </row>
    <row r="274" spans="1:1" x14ac:dyDescent="0.25">
      <c r="A274">
        <v>11235</v>
      </c>
    </row>
    <row r="275" spans="1:1" x14ac:dyDescent="0.25">
      <c r="A275">
        <v>11252</v>
      </c>
    </row>
    <row r="276" spans="1:1" x14ac:dyDescent="0.25">
      <c r="A276">
        <v>11301</v>
      </c>
    </row>
    <row r="277" spans="1:1" x14ac:dyDescent="0.25">
      <c r="A277">
        <v>11349</v>
      </c>
    </row>
    <row r="278" spans="1:1" x14ac:dyDescent="0.25">
      <c r="A278">
        <v>11386</v>
      </c>
    </row>
    <row r="279" spans="1:1" x14ac:dyDescent="0.25">
      <c r="A279">
        <v>11398</v>
      </c>
    </row>
    <row r="280" spans="1:1" x14ac:dyDescent="0.25">
      <c r="A280">
        <v>11515</v>
      </c>
    </row>
    <row r="281" spans="1:1" x14ac:dyDescent="0.25">
      <c r="A281">
        <v>11639</v>
      </c>
    </row>
    <row r="282" spans="1:1" x14ac:dyDescent="0.25">
      <c r="A282">
        <v>11031</v>
      </c>
    </row>
    <row r="283" spans="1:1" x14ac:dyDescent="0.25">
      <c r="A283">
        <v>11054</v>
      </c>
    </row>
    <row r="284" spans="1:1" x14ac:dyDescent="0.25">
      <c r="A284">
        <v>11091</v>
      </c>
    </row>
    <row r="285" spans="1:1" x14ac:dyDescent="0.25">
      <c r="A285">
        <v>11275</v>
      </c>
    </row>
    <row r="286" spans="1:1" x14ac:dyDescent="0.25">
      <c r="A286">
        <v>11293</v>
      </c>
    </row>
    <row r="287" spans="1:1" x14ac:dyDescent="0.25">
      <c r="A287">
        <v>11294</v>
      </c>
    </row>
    <row r="288" spans="1:1" x14ac:dyDescent="0.25">
      <c r="A288">
        <v>11305</v>
      </c>
    </row>
    <row r="289" spans="1:1" x14ac:dyDescent="0.25">
      <c r="A289">
        <v>11315</v>
      </c>
    </row>
    <row r="290" spans="1:1" x14ac:dyDescent="0.25">
      <c r="A290">
        <v>11532</v>
      </c>
    </row>
    <row r="291" spans="1:1" x14ac:dyDescent="0.25">
      <c r="A291">
        <v>11602</v>
      </c>
    </row>
    <row r="292" spans="1:1" x14ac:dyDescent="0.25">
      <c r="A292">
        <v>11638</v>
      </c>
    </row>
    <row r="293" spans="1:1" x14ac:dyDescent="0.25">
      <c r="A293">
        <v>11083</v>
      </c>
    </row>
    <row r="294" spans="1:1" x14ac:dyDescent="0.25">
      <c r="A294">
        <v>11136</v>
      </c>
    </row>
    <row r="295" spans="1:1" x14ac:dyDescent="0.25">
      <c r="A295">
        <v>11145</v>
      </c>
    </row>
    <row r="296" spans="1:1" x14ac:dyDescent="0.25">
      <c r="A296">
        <v>11156</v>
      </c>
    </row>
    <row r="297" spans="1:1" x14ac:dyDescent="0.25">
      <c r="A297">
        <v>11244</v>
      </c>
    </row>
    <row r="298" spans="1:1" x14ac:dyDescent="0.25">
      <c r="A298">
        <v>11353</v>
      </c>
    </row>
    <row r="299" spans="1:1" x14ac:dyDescent="0.25">
      <c r="A299">
        <v>11354</v>
      </c>
    </row>
    <row r="300" spans="1:1" x14ac:dyDescent="0.25">
      <c r="A300">
        <v>11897</v>
      </c>
    </row>
    <row r="301" spans="1:1" x14ac:dyDescent="0.25">
      <c r="A301">
        <v>11930</v>
      </c>
    </row>
    <row r="302" spans="1:1" x14ac:dyDescent="0.25">
      <c r="A302">
        <v>11014</v>
      </c>
    </row>
    <row r="303" spans="1:1" x14ac:dyDescent="0.25">
      <c r="A303">
        <v>11090</v>
      </c>
    </row>
    <row r="304" spans="1:1" x14ac:dyDescent="0.25">
      <c r="A304">
        <v>11312</v>
      </c>
    </row>
    <row r="305" spans="1:1" x14ac:dyDescent="0.25">
      <c r="A305">
        <v>11321</v>
      </c>
    </row>
    <row r="306" spans="1:1" x14ac:dyDescent="0.25">
      <c r="A306">
        <v>11469</v>
      </c>
    </row>
    <row r="307" spans="1:1" x14ac:dyDescent="0.25">
      <c r="A307">
        <v>11491</v>
      </c>
    </row>
    <row r="308" spans="1:1" x14ac:dyDescent="0.25">
      <c r="A308">
        <v>11900</v>
      </c>
    </row>
    <row r="309" spans="1:1" x14ac:dyDescent="0.25">
      <c r="A309">
        <v>12355</v>
      </c>
    </row>
    <row r="310" spans="1:1" x14ac:dyDescent="0.25">
      <c r="A310">
        <v>11046</v>
      </c>
    </row>
    <row r="311" spans="1:1" x14ac:dyDescent="0.25">
      <c r="A311">
        <v>11180</v>
      </c>
    </row>
    <row r="312" spans="1:1" x14ac:dyDescent="0.25">
      <c r="A312">
        <v>11460</v>
      </c>
    </row>
    <row r="313" spans="1:1" x14ac:dyDescent="0.25">
      <c r="A313">
        <v>11545</v>
      </c>
    </row>
    <row r="314" spans="1:1" x14ac:dyDescent="0.25">
      <c r="A314">
        <v>11590</v>
      </c>
    </row>
    <row r="315" spans="1:1" x14ac:dyDescent="0.25">
      <c r="A315">
        <v>11635</v>
      </c>
    </row>
    <row r="316" spans="1:1" x14ac:dyDescent="0.25">
      <c r="A316">
        <v>12330</v>
      </c>
    </row>
    <row r="317" spans="1:1" x14ac:dyDescent="0.25">
      <c r="A317">
        <v>11179</v>
      </c>
    </row>
    <row r="318" spans="1:1" x14ac:dyDescent="0.25">
      <c r="A318">
        <v>11302</v>
      </c>
    </row>
    <row r="319" spans="1:1" x14ac:dyDescent="0.25">
      <c r="A319">
        <v>11439</v>
      </c>
    </row>
    <row r="320" spans="1:1" x14ac:dyDescent="0.25">
      <c r="A320">
        <v>11486</v>
      </c>
    </row>
    <row r="321" spans="1:1" x14ac:dyDescent="0.25">
      <c r="A321">
        <v>11615</v>
      </c>
    </row>
    <row r="322" spans="1:1" x14ac:dyDescent="0.25">
      <c r="A322">
        <v>11942</v>
      </c>
    </row>
    <row r="323" spans="1:1" x14ac:dyDescent="0.25">
      <c r="A323">
        <v>12348</v>
      </c>
    </row>
    <row r="324" spans="1:1" x14ac:dyDescent="0.25">
      <c r="A324">
        <v>11008</v>
      </c>
    </row>
    <row r="325" spans="1:1" x14ac:dyDescent="0.25">
      <c r="A325">
        <v>11020</v>
      </c>
    </row>
    <row r="326" spans="1:1" x14ac:dyDescent="0.25">
      <c r="A326">
        <v>11035</v>
      </c>
    </row>
    <row r="327" spans="1:1" x14ac:dyDescent="0.25">
      <c r="A327">
        <v>11195</v>
      </c>
    </row>
    <row r="328" spans="1:1" x14ac:dyDescent="0.25">
      <c r="A328">
        <v>11237</v>
      </c>
    </row>
    <row r="329" spans="1:1" x14ac:dyDescent="0.25">
      <c r="A329">
        <v>11295</v>
      </c>
    </row>
    <row r="330" spans="1:1" x14ac:dyDescent="0.25">
      <c r="A330">
        <v>11558</v>
      </c>
    </row>
    <row r="331" spans="1:1" x14ac:dyDescent="0.25">
      <c r="A331">
        <v>11612</v>
      </c>
    </row>
    <row r="332" spans="1:1" x14ac:dyDescent="0.25">
      <c r="A332">
        <v>11810</v>
      </c>
    </row>
    <row r="333" spans="1:1" x14ac:dyDescent="0.25">
      <c r="A333">
        <v>11854</v>
      </c>
    </row>
    <row r="334" spans="1:1" x14ac:dyDescent="0.25">
      <c r="A334">
        <v>11116</v>
      </c>
    </row>
    <row r="335" spans="1:1" x14ac:dyDescent="0.25">
      <c r="A335">
        <v>11245</v>
      </c>
    </row>
    <row r="336" spans="1:1" x14ac:dyDescent="0.25">
      <c r="A336">
        <v>11292</v>
      </c>
    </row>
    <row r="337" spans="1:1" x14ac:dyDescent="0.25">
      <c r="A337">
        <v>11296</v>
      </c>
    </row>
    <row r="338" spans="1:1" x14ac:dyDescent="0.25">
      <c r="A338">
        <v>11318</v>
      </c>
    </row>
    <row r="339" spans="1:1" x14ac:dyDescent="0.25">
      <c r="A339">
        <v>11359</v>
      </c>
    </row>
    <row r="340" spans="1:1" x14ac:dyDescent="0.25">
      <c r="A340">
        <v>11524</v>
      </c>
    </row>
    <row r="341" spans="1:1" x14ac:dyDescent="0.25">
      <c r="A341">
        <v>11568</v>
      </c>
    </row>
    <row r="342" spans="1:1" x14ac:dyDescent="0.25">
      <c r="A342">
        <v>11570</v>
      </c>
    </row>
    <row r="343" spans="1:1" x14ac:dyDescent="0.25">
      <c r="A343">
        <v>11256</v>
      </c>
    </row>
    <row r="344" spans="1:1" x14ac:dyDescent="0.25">
      <c r="A344">
        <v>11287</v>
      </c>
    </row>
    <row r="345" spans="1:1" x14ac:dyDescent="0.25">
      <c r="A345">
        <v>11371</v>
      </c>
    </row>
    <row r="346" spans="1:1" x14ac:dyDescent="0.25">
      <c r="A346">
        <v>11412</v>
      </c>
    </row>
    <row r="347" spans="1:1" x14ac:dyDescent="0.25">
      <c r="A347">
        <v>11573</v>
      </c>
    </row>
    <row r="348" spans="1:1" x14ac:dyDescent="0.25">
      <c r="A348">
        <v>11030</v>
      </c>
    </row>
    <row r="349" spans="1:1" x14ac:dyDescent="0.25">
      <c r="A349">
        <v>11059</v>
      </c>
    </row>
    <row r="350" spans="1:1" x14ac:dyDescent="0.25">
      <c r="A350">
        <v>11323</v>
      </c>
    </row>
    <row r="351" spans="1:1" x14ac:dyDescent="0.25">
      <c r="A351">
        <v>11333</v>
      </c>
    </row>
    <row r="352" spans="1:1" x14ac:dyDescent="0.25">
      <c r="A352">
        <v>11370</v>
      </c>
    </row>
    <row r="353" spans="1:1" x14ac:dyDescent="0.25">
      <c r="A353">
        <v>11376</v>
      </c>
    </row>
    <row r="354" spans="1:1" x14ac:dyDescent="0.25">
      <c r="A354">
        <v>11381</v>
      </c>
    </row>
    <row r="355" spans="1:1" x14ac:dyDescent="0.25">
      <c r="A355">
        <v>11434</v>
      </c>
    </row>
    <row r="356" spans="1:1" x14ac:dyDescent="0.25">
      <c r="A356">
        <v>11575</v>
      </c>
    </row>
    <row r="357" spans="1:1" x14ac:dyDescent="0.25">
      <c r="A357">
        <v>11864</v>
      </c>
    </row>
    <row r="358" spans="1:1" x14ac:dyDescent="0.25">
      <c r="A358">
        <v>12329</v>
      </c>
    </row>
    <row r="359" spans="1:1" x14ac:dyDescent="0.25">
      <c r="A359">
        <v>11119</v>
      </c>
    </row>
    <row r="360" spans="1:1" x14ac:dyDescent="0.25">
      <c r="A360">
        <v>11216</v>
      </c>
    </row>
    <row r="361" spans="1:1" x14ac:dyDescent="0.25">
      <c r="A361">
        <v>11261</v>
      </c>
    </row>
    <row r="362" spans="1:1" x14ac:dyDescent="0.25">
      <c r="A362">
        <v>11427</v>
      </c>
    </row>
    <row r="363" spans="1:1" x14ac:dyDescent="0.25">
      <c r="A363">
        <v>11466</v>
      </c>
    </row>
    <row r="364" spans="1:1" x14ac:dyDescent="0.25">
      <c r="A364">
        <v>11498</v>
      </c>
    </row>
    <row r="365" spans="1:1" x14ac:dyDescent="0.25">
      <c r="A365">
        <v>11562</v>
      </c>
    </row>
    <row r="366" spans="1:1" x14ac:dyDescent="0.25">
      <c r="A366">
        <v>11646</v>
      </c>
    </row>
    <row r="367" spans="1:1" x14ac:dyDescent="0.25">
      <c r="A367">
        <v>11798</v>
      </c>
    </row>
    <row r="368" spans="1:1" x14ac:dyDescent="0.25">
      <c r="A368">
        <v>11875</v>
      </c>
    </row>
    <row r="369" spans="1:1" x14ac:dyDescent="0.25">
      <c r="A369">
        <v>11160</v>
      </c>
    </row>
    <row r="370" spans="1:1" x14ac:dyDescent="0.25">
      <c r="A370">
        <v>11177</v>
      </c>
    </row>
    <row r="371" spans="1:1" x14ac:dyDescent="0.25">
      <c r="A371">
        <v>11191</v>
      </c>
    </row>
    <row r="372" spans="1:1" x14ac:dyDescent="0.25">
      <c r="A372">
        <v>11285</v>
      </c>
    </row>
    <row r="373" spans="1:1" x14ac:dyDescent="0.25">
      <c r="A373">
        <v>11324</v>
      </c>
    </row>
    <row r="374" spans="1:1" x14ac:dyDescent="0.25">
      <c r="A374">
        <v>11337</v>
      </c>
    </row>
    <row r="375" spans="1:1" x14ac:dyDescent="0.25">
      <c r="A375">
        <v>11430</v>
      </c>
    </row>
    <row r="376" spans="1:1" x14ac:dyDescent="0.25">
      <c r="A376">
        <v>11459</v>
      </c>
    </row>
    <row r="377" spans="1:1" x14ac:dyDescent="0.25">
      <c r="A377">
        <v>11599</v>
      </c>
    </row>
    <row r="378" spans="1:1" x14ac:dyDescent="0.25">
      <c r="A378">
        <v>11620</v>
      </c>
    </row>
    <row r="379" spans="1:1" x14ac:dyDescent="0.25">
      <c r="A379">
        <v>12301</v>
      </c>
    </row>
    <row r="380" spans="1:1" x14ac:dyDescent="0.25">
      <c r="A380">
        <v>11109</v>
      </c>
    </row>
    <row r="381" spans="1:1" x14ac:dyDescent="0.25">
      <c r="A381">
        <v>11205</v>
      </c>
    </row>
    <row r="382" spans="1:1" x14ac:dyDescent="0.25">
      <c r="A382">
        <v>11226</v>
      </c>
    </row>
    <row r="383" spans="1:1" x14ac:dyDescent="0.25">
      <c r="A383">
        <v>11232</v>
      </c>
    </row>
    <row r="384" spans="1:1" x14ac:dyDescent="0.25">
      <c r="A384">
        <v>11331</v>
      </c>
    </row>
    <row r="385" spans="1:1" x14ac:dyDescent="0.25">
      <c r="A385">
        <v>11479</v>
      </c>
    </row>
    <row r="386" spans="1:1" x14ac:dyDescent="0.25">
      <c r="A386">
        <v>11621</v>
      </c>
    </row>
    <row r="387" spans="1:1" x14ac:dyDescent="0.25">
      <c r="A387">
        <v>11831</v>
      </c>
    </row>
    <row r="388" spans="1:1" x14ac:dyDescent="0.25">
      <c r="A388">
        <v>11861</v>
      </c>
    </row>
    <row r="389" spans="1:1" x14ac:dyDescent="0.25">
      <c r="A389">
        <v>11040</v>
      </c>
    </row>
    <row r="390" spans="1:1" x14ac:dyDescent="0.25">
      <c r="A390">
        <v>11176</v>
      </c>
    </row>
    <row r="391" spans="1:1" x14ac:dyDescent="0.25">
      <c r="A391">
        <v>11262</v>
      </c>
    </row>
    <row r="392" spans="1:1" x14ac:dyDescent="0.25">
      <c r="A392">
        <v>11351</v>
      </c>
    </row>
    <row r="393" spans="1:1" x14ac:dyDescent="0.25">
      <c r="A393">
        <v>11425</v>
      </c>
    </row>
    <row r="394" spans="1:1" x14ac:dyDescent="0.25">
      <c r="A394">
        <v>11489</v>
      </c>
    </row>
    <row r="395" spans="1:1" x14ac:dyDescent="0.25">
      <c r="A395">
        <v>11536</v>
      </c>
    </row>
    <row r="396" spans="1:1" x14ac:dyDescent="0.25">
      <c r="A396">
        <v>11845</v>
      </c>
    </row>
    <row r="397" spans="1:1" x14ac:dyDescent="0.25">
      <c r="A397">
        <v>11898</v>
      </c>
    </row>
    <row r="398" spans="1:1" x14ac:dyDescent="0.25">
      <c r="A398">
        <v>11092</v>
      </c>
    </row>
    <row r="399" spans="1:1" x14ac:dyDescent="0.25">
      <c r="A399">
        <v>11112</v>
      </c>
    </row>
    <row r="400" spans="1:1" x14ac:dyDescent="0.25">
      <c r="A400">
        <v>11325</v>
      </c>
    </row>
    <row r="401" spans="1:1" x14ac:dyDescent="0.25">
      <c r="A401">
        <v>11332</v>
      </c>
    </row>
    <row r="402" spans="1:1" x14ac:dyDescent="0.25">
      <c r="A402">
        <v>11451</v>
      </c>
    </row>
    <row r="403" spans="1:1" x14ac:dyDescent="0.25">
      <c r="A403">
        <v>11517</v>
      </c>
    </row>
    <row r="404" spans="1:1" x14ac:dyDescent="0.25">
      <c r="A404">
        <v>11640</v>
      </c>
    </row>
    <row r="405" spans="1:1" x14ac:dyDescent="0.25">
      <c r="A405">
        <v>11883</v>
      </c>
    </row>
    <row r="406" spans="1:1" x14ac:dyDescent="0.25">
      <c r="A406">
        <v>11956</v>
      </c>
    </row>
    <row r="407" spans="1:1" x14ac:dyDescent="0.25">
      <c r="A407">
        <v>11989</v>
      </c>
    </row>
    <row r="408" spans="1:1" x14ac:dyDescent="0.25">
      <c r="A408">
        <v>12336</v>
      </c>
    </row>
    <row r="409" spans="1:1" x14ac:dyDescent="0.25">
      <c r="A409">
        <v>12345</v>
      </c>
    </row>
    <row r="410" spans="1:1" x14ac:dyDescent="0.25">
      <c r="A410">
        <v>11039</v>
      </c>
    </row>
    <row r="411" spans="1:1" x14ac:dyDescent="0.25">
      <c r="A411">
        <v>11065</v>
      </c>
    </row>
    <row r="412" spans="1:1" x14ac:dyDescent="0.25">
      <c r="A412">
        <v>11128</v>
      </c>
    </row>
    <row r="413" spans="1:1" x14ac:dyDescent="0.25">
      <c r="A413">
        <v>11327</v>
      </c>
    </row>
    <row r="414" spans="1:1" x14ac:dyDescent="0.25">
      <c r="A414">
        <v>11336</v>
      </c>
    </row>
    <row r="415" spans="1:1" x14ac:dyDescent="0.25">
      <c r="A415">
        <v>11411</v>
      </c>
    </row>
    <row r="416" spans="1:1" x14ac:dyDescent="0.25">
      <c r="A416">
        <v>11582</v>
      </c>
    </row>
    <row r="417" spans="1:1" x14ac:dyDescent="0.25">
      <c r="A417">
        <v>11604</v>
      </c>
    </row>
    <row r="418" spans="1:1" x14ac:dyDescent="0.25">
      <c r="A418">
        <v>11817</v>
      </c>
    </row>
    <row r="419" spans="1:1" x14ac:dyDescent="0.25">
      <c r="A419">
        <v>11856</v>
      </c>
    </row>
    <row r="420" spans="1:1" x14ac:dyDescent="0.25">
      <c r="A420">
        <v>12346</v>
      </c>
    </row>
    <row r="421" spans="1:1" x14ac:dyDescent="0.25">
      <c r="A421">
        <v>11147</v>
      </c>
    </row>
    <row r="422" spans="1:1" x14ac:dyDescent="0.25">
      <c r="A422">
        <v>11158</v>
      </c>
    </row>
    <row r="423" spans="1:1" x14ac:dyDescent="0.25">
      <c r="A423">
        <v>11303</v>
      </c>
    </row>
    <row r="424" spans="1:1" x14ac:dyDescent="0.25">
      <c r="A424">
        <v>11304</v>
      </c>
    </row>
    <row r="425" spans="1:1" x14ac:dyDescent="0.25">
      <c r="A425">
        <v>11462</v>
      </c>
    </row>
    <row r="426" spans="1:1" x14ac:dyDescent="0.25">
      <c r="A426">
        <v>11523</v>
      </c>
    </row>
    <row r="427" spans="1:1" x14ac:dyDescent="0.25">
      <c r="A427">
        <v>11935</v>
      </c>
    </row>
    <row r="428" spans="1:1" x14ac:dyDescent="0.25">
      <c r="A428">
        <v>11002</v>
      </c>
    </row>
    <row r="429" spans="1:1" x14ac:dyDescent="0.25">
      <c r="A429">
        <v>11175</v>
      </c>
    </row>
    <row r="430" spans="1:1" x14ac:dyDescent="0.25">
      <c r="A430">
        <v>11221</v>
      </c>
    </row>
    <row r="431" spans="1:1" x14ac:dyDescent="0.25">
      <c r="A431">
        <v>11247</v>
      </c>
    </row>
    <row r="432" spans="1:1" x14ac:dyDescent="0.25">
      <c r="A432">
        <v>11432</v>
      </c>
    </row>
    <row r="433" spans="1:1" x14ac:dyDescent="0.25">
      <c r="A433">
        <v>11457</v>
      </c>
    </row>
    <row r="434" spans="1:1" x14ac:dyDescent="0.25">
      <c r="A434">
        <v>11473</v>
      </c>
    </row>
    <row r="435" spans="1:1" x14ac:dyDescent="0.25">
      <c r="A435">
        <v>11482</v>
      </c>
    </row>
    <row r="436" spans="1:1" x14ac:dyDescent="0.25">
      <c r="A436">
        <v>11511</v>
      </c>
    </row>
    <row r="437" spans="1:1" x14ac:dyDescent="0.25">
      <c r="A437">
        <v>11519</v>
      </c>
    </row>
    <row r="438" spans="1:1" x14ac:dyDescent="0.25">
      <c r="A438">
        <v>11619</v>
      </c>
    </row>
    <row r="439" spans="1:1" x14ac:dyDescent="0.25">
      <c r="A439">
        <v>12323</v>
      </c>
    </row>
    <row r="440" spans="1:1" x14ac:dyDescent="0.25">
      <c r="A440">
        <v>12333</v>
      </c>
    </row>
    <row r="441" spans="1:1" x14ac:dyDescent="0.25">
      <c r="A441">
        <v>11084</v>
      </c>
    </row>
    <row r="442" spans="1:1" x14ac:dyDescent="0.25">
      <c r="A442">
        <v>11122</v>
      </c>
    </row>
    <row r="443" spans="1:1" x14ac:dyDescent="0.25">
      <c r="A443">
        <v>11202</v>
      </c>
    </row>
    <row r="444" spans="1:1" x14ac:dyDescent="0.25">
      <c r="A444">
        <v>11350</v>
      </c>
    </row>
    <row r="445" spans="1:1" x14ac:dyDescent="0.25">
      <c r="A445">
        <v>11368</v>
      </c>
    </row>
    <row r="446" spans="1:1" x14ac:dyDescent="0.25">
      <c r="A446">
        <v>11464</v>
      </c>
    </row>
    <row r="447" spans="1:1" x14ac:dyDescent="0.25">
      <c r="A447">
        <v>11465</v>
      </c>
    </row>
    <row r="448" spans="1:1" x14ac:dyDescent="0.25">
      <c r="A448">
        <v>11474</v>
      </c>
    </row>
    <row r="449" spans="1:1" x14ac:dyDescent="0.25">
      <c r="A449">
        <v>12334</v>
      </c>
    </row>
    <row r="450" spans="1:1" x14ac:dyDescent="0.25">
      <c r="A450">
        <v>11006</v>
      </c>
    </row>
    <row r="451" spans="1:1" x14ac:dyDescent="0.25">
      <c r="A451">
        <v>11069</v>
      </c>
    </row>
    <row r="452" spans="1:1" x14ac:dyDescent="0.25">
      <c r="A452">
        <v>11212</v>
      </c>
    </row>
    <row r="453" spans="1:1" x14ac:dyDescent="0.25">
      <c r="A453">
        <v>11328</v>
      </c>
    </row>
    <row r="454" spans="1:1" x14ac:dyDescent="0.25">
      <c r="A454">
        <v>11455</v>
      </c>
    </row>
    <row r="455" spans="1:1" x14ac:dyDescent="0.25">
      <c r="A455">
        <v>11471</v>
      </c>
    </row>
    <row r="456" spans="1:1" x14ac:dyDescent="0.25">
      <c r="A456">
        <v>11518</v>
      </c>
    </row>
    <row r="457" spans="1:1" x14ac:dyDescent="0.25">
      <c r="A457">
        <v>11603</v>
      </c>
    </row>
    <row r="458" spans="1:1" x14ac:dyDescent="0.25">
      <c r="A458">
        <v>11645</v>
      </c>
    </row>
    <row r="459" spans="1:1" x14ac:dyDescent="0.25">
      <c r="A459">
        <v>11647</v>
      </c>
    </row>
    <row r="460" spans="1:1" x14ac:dyDescent="0.25">
      <c r="A460">
        <v>11770</v>
      </c>
    </row>
    <row r="461" spans="1:1" x14ac:dyDescent="0.25">
      <c r="A461">
        <v>12310</v>
      </c>
    </row>
    <row r="462" spans="1:1" x14ac:dyDescent="0.25">
      <c r="A462">
        <v>12353</v>
      </c>
    </row>
    <row r="463" spans="1:1" x14ac:dyDescent="0.25">
      <c r="A463">
        <v>11032</v>
      </c>
    </row>
    <row r="464" spans="1:1" x14ac:dyDescent="0.25">
      <c r="A464">
        <v>11224</v>
      </c>
    </row>
    <row r="465" spans="1:1" x14ac:dyDescent="0.25">
      <c r="A465">
        <v>11326</v>
      </c>
    </row>
    <row r="466" spans="1:1" x14ac:dyDescent="0.25">
      <c r="A466">
        <v>11367</v>
      </c>
    </row>
    <row r="467" spans="1:1" x14ac:dyDescent="0.25">
      <c r="A467">
        <v>11436</v>
      </c>
    </row>
    <row r="468" spans="1:1" x14ac:dyDescent="0.25">
      <c r="A468">
        <v>11557</v>
      </c>
    </row>
    <row r="469" spans="1:1" x14ac:dyDescent="0.25">
      <c r="A469">
        <v>11618</v>
      </c>
    </row>
    <row r="470" spans="1:1" x14ac:dyDescent="0.25">
      <c r="A470">
        <v>12338</v>
      </c>
    </row>
    <row r="471" spans="1:1" x14ac:dyDescent="0.25">
      <c r="A471">
        <v>12351</v>
      </c>
    </row>
    <row r="472" spans="1:1" x14ac:dyDescent="0.25">
      <c r="A472">
        <v>10000</v>
      </c>
    </row>
    <row r="473" spans="1:1" x14ac:dyDescent="0.25">
      <c r="A473">
        <v>3941</v>
      </c>
    </row>
    <row r="474" spans="1:1" x14ac:dyDescent="0.25">
      <c r="A474">
        <v>3954</v>
      </c>
    </row>
    <row r="475" spans="1:1" x14ac:dyDescent="0.25">
      <c r="A475">
        <v>3952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Resumen</vt:lpstr>
      <vt:lpstr>Organigrama Febrero</vt:lpstr>
      <vt:lpstr>Hoja1</vt:lpstr>
      <vt:lpstr>Dar de alta</vt:lpstr>
      <vt:lpstr>Hoja3</vt:lpstr>
      <vt:lpstr>SUCURSACLES</vt:lpstr>
      <vt:lpstr>SUCURSALES DOMINOS - USUARIOS</vt:lpstr>
      <vt:lpstr>Suc BD</vt:lpstr>
    </vt:vector>
  </TitlesOfParts>
  <Manager/>
  <Company/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2020-02-25T00:35:11Z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